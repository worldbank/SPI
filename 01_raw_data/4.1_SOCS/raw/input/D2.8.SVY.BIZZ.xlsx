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/01_raw_data/4.1_SOCS/raw/input/"/>
    </mc:Choice>
  </mc:AlternateContent>
  <xr:revisionPtr revIDLastSave="586" documentId="13_ncr:1_{785F06A1-600C-43BF-BDD6-ED8E91CA7490}" xr6:coauthVersionLast="47" xr6:coauthVersionMax="47" xr10:uidLastSave="{A82BEA04-2BFA-40CC-9172-B1CB001A8480}"/>
  <bookViews>
    <workbookView xWindow="-110" yWindow="-110" windowWidth="19420" windowHeight="10300" firstSheet="1" activeTab="1" xr2:uid="{B1D4A2B0-B996-4285-8899-E61063B05042}"/>
  </bookViews>
  <sheets>
    <sheet name="2020 DCS" sheetId="13" r:id="rId1"/>
    <sheet name="Data" sheetId="12" r:id="rId2"/>
  </sheets>
  <definedNames>
    <definedName name="_xlnm._FilterDatabase" localSheetId="1" hidden="1">Data!$A$3:$Y$76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9" i="12" l="1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AG68" i="12"/>
  <c r="AG69" i="12"/>
  <c r="AG70" i="12"/>
  <c r="AG71" i="12"/>
  <c r="AG72" i="12"/>
  <c r="AG73" i="12"/>
  <c r="AG74" i="12"/>
  <c r="AG75" i="12"/>
  <c r="AG76" i="12"/>
  <c r="AG77" i="12"/>
  <c r="AG78" i="12"/>
  <c r="AG79" i="12"/>
  <c r="AG80" i="12"/>
  <c r="AG81" i="12"/>
  <c r="AG82" i="12"/>
  <c r="AG83" i="12"/>
  <c r="AG84" i="12"/>
  <c r="AG85" i="12"/>
  <c r="AG86" i="12"/>
  <c r="AG87" i="12"/>
  <c r="AG88" i="12"/>
  <c r="AG89" i="12"/>
  <c r="AG90" i="12"/>
  <c r="AG91" i="12"/>
  <c r="AG92" i="12"/>
  <c r="AG93" i="12"/>
  <c r="AG94" i="12"/>
  <c r="AG95" i="12"/>
  <c r="AG96" i="12"/>
  <c r="AG97" i="12"/>
  <c r="AG98" i="12"/>
  <c r="AG99" i="12"/>
  <c r="AG100" i="12"/>
  <c r="AG101" i="12"/>
  <c r="AG102" i="12"/>
  <c r="AG103" i="12"/>
  <c r="AG104" i="12"/>
  <c r="AG105" i="12"/>
  <c r="AG106" i="12"/>
  <c r="AG107" i="12"/>
  <c r="AG108" i="12"/>
  <c r="AG109" i="12"/>
  <c r="AG110" i="12"/>
  <c r="AG111" i="12"/>
  <c r="AG112" i="12"/>
  <c r="AG113" i="12"/>
  <c r="AG114" i="12"/>
  <c r="AG115" i="12"/>
  <c r="AG116" i="12"/>
  <c r="AG117" i="12"/>
  <c r="AG118" i="12"/>
  <c r="AG119" i="12"/>
  <c r="AG120" i="12"/>
  <c r="AG121" i="12"/>
  <c r="AG122" i="12"/>
  <c r="AG123" i="12"/>
  <c r="AG124" i="12"/>
  <c r="AG125" i="12"/>
  <c r="AG126" i="12"/>
  <c r="AG127" i="12"/>
  <c r="AG128" i="12"/>
  <c r="AG129" i="12"/>
  <c r="AG130" i="12"/>
  <c r="AG131" i="12"/>
  <c r="AG132" i="12"/>
  <c r="AG133" i="12"/>
  <c r="AG134" i="12"/>
  <c r="AG135" i="12"/>
  <c r="AG136" i="12"/>
  <c r="AG137" i="12"/>
  <c r="AG138" i="12"/>
  <c r="AG139" i="12"/>
  <c r="AG140" i="12"/>
  <c r="AG141" i="12"/>
  <c r="AG142" i="12"/>
  <c r="AG143" i="12"/>
  <c r="AG144" i="12"/>
  <c r="AG145" i="12"/>
  <c r="AG146" i="12"/>
  <c r="AG147" i="12"/>
  <c r="AG148" i="12"/>
  <c r="AG149" i="12"/>
  <c r="AG150" i="12"/>
  <c r="AG151" i="12"/>
  <c r="AG152" i="12"/>
  <c r="AG153" i="12"/>
  <c r="AG154" i="12"/>
  <c r="AG155" i="12"/>
  <c r="AG156" i="12"/>
  <c r="AG157" i="12"/>
  <c r="AG158" i="12"/>
  <c r="AG159" i="12"/>
  <c r="AG160" i="12"/>
  <c r="AG161" i="12"/>
  <c r="AG162" i="12"/>
  <c r="AG163" i="12"/>
  <c r="AG164" i="12"/>
  <c r="AG165" i="12"/>
  <c r="AG166" i="12"/>
  <c r="AG167" i="12"/>
  <c r="AG168" i="12"/>
  <c r="AG169" i="12"/>
  <c r="AG170" i="12"/>
  <c r="AG171" i="12"/>
  <c r="AG172" i="12"/>
  <c r="AG173" i="12"/>
  <c r="AG174" i="12"/>
  <c r="AG175" i="12"/>
  <c r="AG176" i="12"/>
  <c r="AG177" i="12"/>
  <c r="AG178" i="12"/>
  <c r="AG179" i="12"/>
  <c r="AG180" i="12"/>
  <c r="AG181" i="12"/>
  <c r="AG182" i="12"/>
  <c r="AG183" i="12"/>
  <c r="AG184" i="12"/>
  <c r="AG185" i="12"/>
  <c r="AG186" i="12"/>
  <c r="AG187" i="12"/>
  <c r="AG188" i="12"/>
  <c r="AG189" i="12"/>
  <c r="AG190" i="12"/>
  <c r="AG191" i="12"/>
  <c r="AG192" i="12"/>
  <c r="AG193" i="12"/>
  <c r="AG5" i="12"/>
  <c r="AG6" i="12"/>
  <c r="AG7" i="12"/>
  <c r="AG8" i="12"/>
  <c r="AG4" i="12"/>
  <c r="C2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Dereje Ketema Wolde</author>
    <author>Aieshwarya Davis</author>
  </authors>
  <commentList>
    <comment ref="Q4" authorId="0" shapeId="0" xr:uid="{4B324AA1-515D-42BE-8ADC-8C75A2B5EA2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https://www.nsia.gov.af:8080/wp-content/uploads/2019/04/IBES-Sureveys-Report-2015.pdf</t>
        </r>
      </text>
    </comment>
    <comment ref="W4" authorId="0" shapeId="0" xr:uid="{16B8113F-ADE5-4951-BC61-72FA5BE881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https://www.nsia.gov.af:8080/wp-content/uploads/2019/04/IBES-Sureveys-Report-2015.pdf</t>
        </r>
      </text>
    </comment>
    <comment ref="Q5" authorId="0" shapeId="0" xr:uid="{EBF58518-296A-4B0C-9DE2-E4CED2A870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R5" authorId="0" shapeId="0" xr:uid="{6032D658-D192-4179-8AB4-DDDADEDF91B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S5" authorId="0" shapeId="0" xr:uid="{35868D97-3A5D-4326-B3B3-BB9122883FB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T5" authorId="0" shapeId="0" xr:uid="{2E794752-8819-46BA-AA1C-B6D51172BCD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U5" authorId="0" shapeId="0" xr:uid="{B38110B7-7062-435C-B7A7-60B4343D3A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V5" authorId="0" shapeId="0" xr:uid="{D6BFECAA-FE5B-41C8-A326-A42D56295A9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W5" authorId="0" shapeId="0" xr:uid="{42D0245A-3842-482C-A5A2-33FA3157D2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X5" authorId="0" shapeId="0" xr:uid="{1DCD37A6-EDBD-4EDB-9289-58208EF4BA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Y5" authorId="0" shapeId="0" xr:uid="{CE51475F-D165-4866-A43A-8F4B855A4E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Z5" authorId="0" shapeId="0" xr:uid="{3563B8C8-CBD7-4A6F-B747-A5A1C982959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AA5" authorId="0" shapeId="0" xr:uid="{A568B52E-2FA3-4612-9A53-FCDF5F9CC6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http://www.instat.gov.al/en/themes/industry-trade-and-services/structural-business-statistics/#tab3</t>
        </r>
      </text>
    </comment>
    <comment ref="O7" authorId="0" shapeId="0" xr:uid="{729AFCB3-449E-4F3B-8E74-77EE6FD73B3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P7" authorId="0" shapeId="0" xr:uid="{A44DEBCE-1C0C-4326-97E5-E3E7E0E83E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Q7" authorId="0" shapeId="0" xr:uid="{2B4C7CEC-A753-4327-AA94-5D36022B47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R7" authorId="0" shapeId="0" xr:uid="{74496E75-3B8E-4F8B-9E77-E68585AD8E1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S7" authorId="0" shapeId="0" xr:uid="{269B8531-C265-4AFC-91CB-ABF94E5703C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T7" authorId="0" shapeId="0" xr:uid="{11CA655D-EE41-40EE-B20A-A21FF688AAD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U7" authorId="0" shapeId="0" xr:uid="{78640B4F-9B58-4B9F-A06A-1D09D57E63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V7" authorId="0" shapeId="0" xr:uid="{C499EA7B-2ED3-4E11-AD45-097A022E97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W7" authorId="0" shapeId="0" xr:uid="{5B030BC2-9EAB-4506-943F-FE022DBC793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X7" authorId="0" shapeId="0" xr:uid="{B82BF07E-DAAB-419A-9D85-C964CEB5FFB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Y7" authorId="0" shapeId="0" xr:uid="{D6608D0B-348E-44C6-9765-1D61341CA0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https://www.ine.gov.ao/censos-e-inqueritos</t>
        </r>
      </text>
    </comment>
    <comment ref="Z7" authorId="0" shapeId="0" xr:uid="{C5739BDC-78F9-4789-B97A-91E05D674D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https://www.ine.gov.ao/images/INQUERITO_ANUAL_HARMONIZADO_18_12_2020.pdf</t>
        </r>
      </text>
    </comment>
    <comment ref="R9" authorId="1" shapeId="0" xr:uid="{34FB6BB2-781B-4D49-ABF1-3832893386A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R12" authorId="1" shapeId="0" xr:uid="{DEA2DB8D-E508-4699-ADC9-BBA3E06C1D3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</t>
        </r>
      </text>
    </comment>
    <comment ref="Z17" authorId="0" shapeId="0" xr:uid="{DFFAB5DF-2D5B-4C5A-843A-0CB7397711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http://anda.ine.gob.bo/index.php/catalog/77
http://anda.ine.gob.bo/index.php/catalog/45</t>
        </r>
      </text>
    </comment>
    <comment ref="R18" authorId="0" shapeId="0" xr:uid="{3A820C78-7036-4472-BD11-32239601B52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S18" authorId="0" shapeId="0" xr:uid="{9987E147-8151-4C2F-9FA2-54D9AC56DD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T18" authorId="0" shapeId="0" xr:uid="{F6BA8642-1C7F-493D-A7CC-D38D8DF191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U18" authorId="0" shapeId="0" xr:uid="{F52E75AF-F7DE-4597-8CC3-3E2C903B9C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V18" authorId="0" shapeId="0" xr:uid="{51537053-18F1-40AC-A0A1-C311D675B8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W18" authorId="0" shapeId="0" xr:uid="{EFF02C88-3FB1-418F-B355-E14A2475EB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X18" authorId="0" shapeId="0" xr:uid="{8FA9AE00-C9D1-4011-B544-5D631748F8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Y18" authorId="0" shapeId="0" xr:uid="{FBCC6BA0-6F69-4E74-8788-CFCCF8D572B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Z18" authorId="0" shapeId="0" xr:uid="{C717822C-ABAF-4129-B490-B57C8B249B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AA18" authorId="0" shapeId="0" xr:uid="{B4A6C897-06A3-4B46-8A5D-0989200AAE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https://ec.europa.eu/eurostat/cache/metadata/EN/sbs_esms_ba.htm
http://www.bhas.ba/Calendar/Category?id=21&amp;page=1&amp;statGroup=21&amp;tabId=0</t>
        </r>
      </text>
    </comment>
    <comment ref="N19" authorId="1" shapeId="0" xr:uid="{68299B66-CA01-445E-9492-B76CBC3CAD2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R19" authorId="1" shapeId="0" xr:uid="{888937F8-FA38-4017-9B9B-269C75C4F31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</t>
        </r>
      </text>
    </comment>
    <comment ref="D20" authorId="0" shapeId="0" xr:uid="{D9F35759-4E11-421A-AE32-07A89D08D0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E20" authorId="0" shapeId="0" xr:uid="{A4B58D07-A16E-4118-B340-B4F003963CA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F20" authorId="0" shapeId="0" xr:uid="{7C618090-EEB7-48B1-A310-5CB579C8C1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G20" authorId="0" shapeId="0" xr:uid="{08624AAE-B9D6-43C3-B31A-96D702732F0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H20" authorId="0" shapeId="0" xr:uid="{281B5144-ABA5-4FA5-8CC2-89D05114B8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I20" authorId="0" shapeId="0" xr:uid="{F12C38F1-AA93-4D42-9C6D-C41576D6B1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J20" authorId="0" shapeId="0" xr:uid="{D60C3073-4FCF-4499-847D-804ABB8AC57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K20" authorId="0" shapeId="0" xr:uid="{EEC5C2FD-7C55-4D52-9133-1F560A2B4C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L20" authorId="0" shapeId="0" xr:uid="{3AE33E21-037D-4EBC-A196-E1CA8C08F4C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M20" authorId="0" shapeId="0" xr:uid="{8356CD3E-EC54-4561-9F79-C5AF63FFC81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N20" authorId="0" shapeId="0" xr:uid="{832471A2-18F3-4FF0-BC68-110F7B18E5E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O20" authorId="0" shapeId="0" xr:uid="{4D20246E-21AE-49EB-95ED-AE5C684776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P20" authorId="0" shapeId="0" xr:uid="{593BF22B-F0BC-4261-9655-6D3BC3841C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Q20" authorId="0" shapeId="0" xr:uid="{E054FA08-AAF5-4886-9776-937A71CF010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R20" authorId="0" shapeId="0" xr:uid="{6A0DF5C9-E67E-4237-829D-1BF2C734F97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S20" authorId="0" shapeId="0" xr:uid="{639DB808-AF90-43AB-B09A-08FB718A5FB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T20" authorId="0" shapeId="0" xr:uid="{9897D0CA-FB48-48B5-96C4-2BF8A0E2DEE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U20" authorId="0" shapeId="0" xr:uid="{9B0196D9-54A9-41B4-B015-BF0D8E7737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V20" authorId="0" shapeId="0" xr:uid="{1E0EC873-680A-4878-9BE8-2078A86485A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W20" authorId="0" shapeId="0" xr:uid="{644A471A-368A-45A4-A2AD-BE52C603974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X20" authorId="0" shapeId="0" xr:uid="{E0E30CD7-5318-4D50-91CC-02ACC4B57C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Y20" authorId="0" shapeId="0" xr:uid="{428E742F-7677-4DF1-A182-F2A750AADE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Z20" authorId="0" shapeId="0" xr:uid="{6F60B7D8-6EAD-4DFF-8C04-097680C65C9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https://www.ibge.gov.br/en/statistics/economic/trade/17210-annual-survey-of-trade.html?=&amp;t=conceitos-e-metodos
https://www.ibge.gov.br/en/statistics/economic/industry-and-construction/16906-pia-enterprise-pia1.html?=&amp;t=conceitos-e-metodos
https://www.ibge.gov.br/en/statistics/economic/services/17345-annual-survey-of-services-pas1.html?=&amp;t=conceitos-e-metodos
</t>
        </r>
      </text>
    </comment>
    <comment ref="D21" authorId="0" shapeId="0" xr:uid="{8256E319-2346-4B43-B405-6682875A642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E21" authorId="0" shapeId="0" xr:uid="{810E5012-D83B-4EE7-95DA-375557BCD9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F21" authorId="0" shapeId="0" xr:uid="{9F9A6E4C-40FA-4560-822C-A6D61932AA9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G21" authorId="0" shapeId="0" xr:uid="{F9DACD95-08FB-4271-A186-F8404392F4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H21" authorId="0" shapeId="0" xr:uid="{7E6FAA24-FFE9-466E-AF80-4B6EAF6B54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I21" authorId="0" shapeId="0" xr:uid="{D5227FA4-9F12-41DB-8A25-A76A14C7EF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J21" authorId="0" shapeId="0" xr:uid="{7846A01B-F4C2-4285-99F8-07CCDFEAB2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K21" authorId="0" shapeId="0" xr:uid="{9BB196ED-1F5C-4CD1-BD28-991865546F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L21" authorId="0" shapeId="0" xr:uid="{A317E9CE-732F-40D5-8D8F-881F2BE09A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M21" authorId="0" shapeId="0" xr:uid="{5DE320C6-15B6-4B43-BE5D-0DDDCAF0166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N21" authorId="0" shapeId="0" xr:uid="{73A330E3-44AD-4DCA-B7E8-8B404431EC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O21" authorId="0" shapeId="0" xr:uid="{6B24801A-8080-4BF1-86CB-BD687D152E1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P21" authorId="0" shapeId="0" xr:uid="{606A074D-5E58-42A9-A42B-AE5A07400F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Q21" authorId="0" shapeId="0" xr:uid="{00866FAB-1F6E-4BED-8F00-751C2192CA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R21" authorId="0" shapeId="0" xr:uid="{8C22E242-DF36-4450-9BBE-017FD2C6DA4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S21" authorId="0" shapeId="0" xr:uid="{78EC12D7-230B-45AA-9F4A-81430FB5856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T21" authorId="0" shapeId="0" xr:uid="{F916B3BD-E889-49C4-9241-6DFC7B5155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U21" authorId="0" shapeId="0" xr:uid="{E86B7778-BC3F-45D1-B6E4-551341C0903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V21" authorId="0" shapeId="0" xr:uid="{1B348C0E-2CB5-4C6D-B621-BF2222D17B1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W21" authorId="0" shapeId="0" xr:uid="{AF9673EF-3A98-44DD-B05F-A15BBC06BD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X21" authorId="0" shapeId="0" xr:uid="{5791A6AF-2892-4835-A378-D9B3806737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Y21" authorId="0" shapeId="0" xr:uid="{D6BB8989-0E15-4EC0-9AFA-51A30989EA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Z21" authorId="0" shapeId="0" xr:uid="{C7C4A06D-81D9-4B33-9A1F-4533875C728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AA21" authorId="0" shapeId="0" xr:uid="{28F4CDF1-DFF0-4ADB-9EB2-8D2650B71F1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https://www.nsi.bg/en/content/4283/business-surveys
https://ec.europa.eu/eurostat/cache/metadata/EN/sbs_esms_bg.htm
</t>
        </r>
      </text>
    </comment>
    <comment ref="Q22" authorId="1" shapeId="0" xr:uid="{66C3E96A-4D03-4A44-9256-6ED19DF2ABA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</t>
        </r>
      </text>
    </comment>
    <comment ref="M23" authorId="1" shapeId="0" xr:uid="{D170E69F-7639-4D1F-BEDE-831E2D9BFC5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X24" authorId="0" shapeId="0" xr:uid="{191D4666-F492-4B9F-B1D7-C64568BD69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http://ine.cv/estatisticas-empresariais/#1477419842708-ef3b0490-9ad2bc40-aa7d</t>
        </r>
      </text>
    </comment>
    <comment ref="Y24" authorId="0" shapeId="0" xr:uid="{BCD82626-DDC9-4783-AF6F-4DE81610B6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http://ine.cv/estatisticas-empresariais/#1477419842708-ef3b0490-9ad2bc40-aa7d</t>
        </r>
      </text>
    </comment>
    <comment ref="Z24" authorId="0" shapeId="0" xr:uid="{FFB0638B-5581-4841-B065-C599F4A6DE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http://ine.cv/estatisticas-empresariais/#1477419842708-ef3b0490-9ad2bc40-aa7d</t>
        </r>
      </text>
    </comment>
    <comment ref="G25" authorId="1" shapeId="0" xr:uid="{BEC1B352-76D9-4770-A342-106C63168C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P25" authorId="1" shapeId="0" xr:uid="{0A24915D-6B76-4750-928C-30768BAC7C97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Q25" authorId="1" shapeId="0" xr:uid="{CD4F5957-A7FA-4611-8DD9-5EA4DF674B1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R25" authorId="1" shapeId="0" xr:uid="{5073D72E-C099-4E95-B38D-E53C601B56C1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U25" authorId="1" shapeId="0" xr:uid="{D9F1422D-5FE7-4C0B-9237-EEA24FCCFF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Socio-Economic Survey</t>
        </r>
      </text>
    </comment>
    <comment ref="N26" authorId="1" shapeId="0" xr:uid="{F497CF5D-9A84-463A-B9F3-6BDCEB1E516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Q26" authorId="1" shapeId="0" xr:uid="{AE146F7E-C4E9-4970-9779-48D7AD6F523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Y26" authorId="0" shapeId="0" xr:uid="{55047223-15F8-4AE0-AFA8-7E88E9F2DF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https://ins-cameroun.cm/en/statistique/etude-economique-et-financiere-des-entreprises-en-2017-17eme-edition/</t>
        </r>
      </text>
    </comment>
    <comment ref="Z26" authorId="0" shapeId="0" xr:uid="{453188FE-DC2E-4EA4-A28D-72F72B54CC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https://ins-cameroun.cm/en/statistique/etude-economique-et-financiere-des-entreprises-en-2018/</t>
        </r>
      </text>
    </comment>
    <comment ref="S29" authorId="0" shapeId="0" xr:uid="{1695F463-D161-4B89-B04E-16B1C47366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T29" authorId="0" shapeId="0" xr:uid="{4A9B9272-B8B5-4B6C-A346-8A4A52DD67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U29" authorId="0" shapeId="0" xr:uid="{8A0E7029-BBCA-4577-9BA3-68116DD2515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V29" authorId="0" shapeId="0" xr:uid="{36CBFC0E-1801-40DD-A37B-5F7A81FFAA0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W29" authorId="0" shapeId="0" xr:uid="{2ED8C569-B5F9-481E-98A6-6FD1E1DF9C8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X29" authorId="0" shapeId="0" xr:uid="{46BB14AA-D83D-44CA-BFA8-A115AC38CEB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Y29" authorId="0" shapeId="0" xr:uid="{66631373-D9D9-4144-BDC7-7593C67333C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Z29" authorId="0" shapeId="0" xr:uid="{99B9186C-B7A0-492F-9518-6CC3E1BCDEC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https://www.ine.cl/estadisticas/economia/industria-manufacturera/estructura-de-la-industria
https://www.ine.cl/estadisticas/economia/comercio-servicios-y-turismo/estructura-del-comercio</t>
        </r>
      </text>
    </comment>
    <comment ref="N31" authorId="0" shapeId="0" xr:uid="{15CD1103-A09D-45D4-9EFB-87C8CCDBD9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O31" authorId="0" shapeId="0" xr:uid="{25014955-CD50-4AF9-90E3-DB328087382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P31" authorId="0" shapeId="0" xr:uid="{F19D9146-53A0-497F-BCC2-7D1091FF955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Q31" authorId="0" shapeId="0" xr:uid="{55482D0D-BBA2-4542-AB53-1F35F7B826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R31" authorId="0" shapeId="0" xr:uid="{6750D222-6027-40E4-A8D4-E869234870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S31" authorId="0" shapeId="0" xr:uid="{77D79ADC-4214-473C-88ED-AD670A2F8B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T31" authorId="0" shapeId="0" xr:uid="{5C2C7FF6-0993-4366-BAB8-EDDBC3F9462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U31" authorId="0" shapeId="0" xr:uid="{B80B2411-47D1-44C9-8E71-81F2CC2C44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V31" authorId="0" shapeId="0" xr:uid="{16C882E7-6E3A-4230-9C96-05E4631AA77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W31" authorId="0" shapeId="0" xr:uid="{23C50B35-8DE1-4581-8E49-0D7F1CB7EDD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X31" authorId="0" shapeId="0" xr:uid="{EA2AAD49-3515-4D51-A262-C1FC271DC6E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Y31" authorId="0" shapeId="0" xr:uid="{B7366514-9CAD-451E-AD02-47D58B0561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Z31" authorId="0" shapeId="0" xr:uid="{B3D18AE1-C6D8-45F0-92C6-4843E6E733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AA31" authorId="0" shapeId="0" xr:uid="{A2AFF0D5-A680-46C2-8A3F-ECFBEF1C1D3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http://microdatos.dane.gov.co/index.php/catalog/central</t>
        </r>
      </text>
    </comment>
    <comment ref="N33" authorId="1" shapeId="0" xr:uid="{CAEC631F-6313-4D5B-B520-9CFBF12FAD9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R33" authorId="1" shapeId="0" xr:uid="{29A7CBC5-F358-4A88-A5A1-7129870793D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informal survey
</t>
        </r>
      </text>
    </comment>
    <comment ref="V33" authorId="1" shapeId="0" xr:uid="{9A01BC35-0E81-44F2-ACEC-27BA36DB1F5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Micro-enterprise survey</t>
        </r>
      </text>
    </comment>
    <comment ref="W35" authorId="0" shapeId="0" xr:uid="{E499600D-F219-46AC-8C65-1530FB6599A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http://sistemas.inec.cr/pad5/index.php/catalog/161</t>
        </r>
      </text>
    </comment>
    <comment ref="X35" authorId="1" shapeId="0" xr:uid="{A446C2D6-7152-423D-987D-67761769D3D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business survey</t>
        </r>
      </text>
    </comment>
    <comment ref="Y35" authorId="1" shapeId="0" xr:uid="{C2536562-8A73-4D76-9796-C5027C983DB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National business survey</t>
        </r>
      </text>
    </comment>
    <comment ref="P37" authorId="0" shapeId="0" xr:uid="{79292F24-C529-4C77-8F38-46BDCA4CBBC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Q37" authorId="0" shapeId="0" xr:uid="{529D759D-6DB8-41AF-99DC-A9129D29B12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R37" authorId="0" shapeId="0" xr:uid="{EFE0E206-7B64-47F3-AD4D-45844A7B17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S37" authorId="0" shapeId="0" xr:uid="{A4AC3FCF-CF64-4400-AD95-CE68E1648EC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T37" authorId="0" shapeId="0" xr:uid="{6DBACBA4-B10A-49A7-93A0-7AB3704250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U37" authorId="0" shapeId="0" xr:uid="{6CA99892-0F62-473A-87EB-4D6F97A736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V37" authorId="0" shapeId="0" xr:uid="{3566638C-F607-4E66-B8CC-A8D56FA41B1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W37" authorId="0" shapeId="0" xr:uid="{F199E005-EB17-49B1-958B-041A9A35FEC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X37" authorId="0" shapeId="0" xr:uid="{1CD9BA9A-9525-4276-8D37-2E975022D1D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Y37" authorId="0" shapeId="0" xr:uid="{31C1003C-62F9-435A-B71E-821D1B6BC49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Z37" authorId="0" shapeId="0" xr:uid="{0F1C09DC-2684-48C9-ADBC-227DB5753B0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AA37" authorId="0" shapeId="0" xr:uid="{28FE3CA8-59DE-4E40-ABC1-E63BF6B5A5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https://www.dzs.hr/Eng/Publication/subjects.htm
https://www.dzs.hr/Eng/DBHomepages/Structural%20business%20statistics/Structural%20business%20statistics.htm
https://ec.europa.eu/eurostat/cache/metadata/EN/sbs_esms_hr.htm</t>
        </r>
      </text>
    </comment>
    <comment ref="O41" authorId="1" shapeId="0" xr:uid="{843A8771-755B-43F7-9B07-1C3F11B7437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P41" authorId="1" shapeId="0" xr:uid="{7035876E-B8B1-407F-8054-249BD5756B8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Q41" authorId="1" shapeId="0" xr:uid="{169A5C05-62B3-49A6-BA16-4F5EE2C01C85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R41" authorId="1" shapeId="0" xr:uid="{7149DC42-437F-4EB6-BC6D-ED40871440C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T41" authorId="1" shapeId="0" xr:uid="{536861DB-6C03-4181-8F7C-7596A9753AC8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U41" authorId="1" shapeId="0" xr:uid="{219490AA-6D64-484E-9190-1496B682E81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V41" authorId="1" shapeId="0" xr:uid="{DFE816B2-97A2-4813-B0BF-E3D62C77637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W41" authorId="1" shapeId="0" xr:uid="{07EFB424-BBD0-4955-B517-7E00B633AB2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annual survey of internal trade, Manufacturing, service
https://anda.inec.gob.ec/anda/index.php/catalog#_r=&amp;collection=&amp;country=&amp;dtype=&amp;from=2007&amp;page=5&amp;ps=%3Cfont%20style%3D%22vertical-align%3A%20inherit%3B%22%3E%3Cfont%20style%3D%22vertical-align%3A%20inherit%3B%22%3E100%3C/font%3E%3C/font%3E&amp;sk=&amp;sort_by=titl&amp;sort_order=&amp;to=2020&amp;topic=&amp;view=s&amp;vk=
</t>
        </r>
      </text>
    </comment>
    <comment ref="X41" authorId="0" shapeId="0" xr:uid="{26D7C329-079C-40CE-A85C-740BF61D27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https://anda.inec.gob.ec/anda/index.php/catalog/807
https://anda.inec.gob.ec/anda/index.php/catalog#_r=&amp;collection=&amp;country=&amp;dtype=&amp;from=2007&amp;page=6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Y41" authorId="0" shapeId="0" xr:uid="{3C426EAF-198C-4CF0-AEFD-4436C4C3CD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https://anda.inec.gob.ec/anda/index.php/catalog/807
https://anda.inec.gob.ec/anda/index.php/catalog#_r=&amp;collection=&amp;country=&amp;dtype=&amp;from=2007&amp;page=6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Z41" authorId="0" shapeId="0" xr:uid="{915BDCF5-AC2D-47B5-A8C6-8481A79C2BA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https://anda.inec.gob.ec/anda/index.php/catalog/807
https://anda.inec.gob.ec/anda/index.php/catalog#_r=&amp;collection=&amp;country=&amp;dtype=&amp;from=2007&amp;page=6&amp;ps=%3Cfont%20style%3D%22vertical-align%3A%20inherit%3B%22%3E%3Cfont%20style%3D%22vertical-align%3A%20inherit%3B%22%3E100%3C/font%3E%3C/font%3E&amp;sk=&amp;sort_by=titl&amp;sort_order=&amp;to=2020&amp;topic=&amp;view=s&amp;vk=</t>
        </r>
      </text>
    </comment>
    <comment ref="E47" authorId="1" shapeId="0" xr:uid="{AF223D3D-4D19-4F9F-B966-57B5D93CD07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F47" authorId="1" shapeId="0" xr:uid="{863142A3-9EC0-4E39-A2CB-B3C5CFCAD04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G47" authorId="1" shapeId="0" xr:uid="{35EBE929-9CFA-4BE0-BEA9-4484F27F7ABC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H47" authorId="1" shapeId="0" xr:uid="{D9F1D5B1-BA72-4B77-8FED-E54E6F76202A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I47" authorId="1" shapeId="0" xr:uid="{9B5CF4DB-6764-48B3-A9B4-235EE94BC7C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J47" authorId="1" shapeId="0" xr:uid="{BFF5EEE8-834E-486B-AA76-4D66DD786083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K47" authorId="1" shapeId="0" xr:uid="{0A792812-AD37-407C-97C0-63C046B1DF72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L47" authorId="1" shapeId="0" xr:uid="{EF7F7FCD-1D80-45D7-BBF2-CE7E0E613A9D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M47" authorId="1" shapeId="0" xr:uid="{665A19CF-9724-4A95-BB13-314BB0FA086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N47" authorId="1" shapeId="0" xr:uid="{000AA36A-CC49-40C8-98FE-E810449307FF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O47" authorId="1" shapeId="0" xr:uid="{D48EC8DD-0029-471C-A681-2FE3A565A95E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P47" authorId="1" shapeId="0" xr:uid="{96316E4D-4128-45D3-8C3B-F77118004DA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Q47" authorId="1" shapeId="0" xr:uid="{4F7AF32D-BB96-4130-B164-F8CC0A165C5B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R47" authorId="1" shapeId="0" xr:uid="{1B5375E7-D567-45EA-98F0-880A626C4E89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Large and Medium manufacturing and electricity industries survey </t>
        </r>
      </text>
    </comment>
    <comment ref="S47" authorId="0" shapeId="0" xr:uid="{F8267BE8-CC60-42F9-90FC-BCCB8B9492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T47" authorId="0" shapeId="0" xr:uid="{59F36930-9F10-4864-BDC5-42A7A84D555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U47" authorId="0" shapeId="0" xr:uid="{666DE68A-7571-4D10-8B7D-759635FD54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V47" authorId="0" shapeId="0" xr:uid="{0B102D57-315B-41B0-A6E6-BAAAA0BE31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W47" authorId="0" shapeId="0" xr:uid="{705A973B-7000-4F87-80A0-04849EC877C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X47" authorId="0" shapeId="0" xr:uid="{E190041D-A362-46E8-A64A-3BD23308F2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Y47" authorId="0" shapeId="0" xr:uid="{BBA0896B-CC19-410D-B9F4-4D0DB10FF0F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https://www.statsethiopia.gov.et/our-survey-reports/</t>
        </r>
      </text>
    </comment>
    <comment ref="P51" authorId="0" shapeId="0" xr:uid="{69C2630B-9C78-444C-B051-F112BACCF7F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Q51" authorId="0" shapeId="0" xr:uid="{523E764C-9FB3-4E6D-A5B9-EC1E54A985B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R51" authorId="0" shapeId="0" xr:uid="{B84DF783-E108-45B9-86FE-1F988736CA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S51" authorId="0" shapeId="0" xr:uid="{C8968607-D891-44D4-A1D1-DE908005D85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T51" authorId="0" shapeId="0" xr:uid="{766210A9-64C7-456B-B4FD-C2B40600625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U51" authorId="0" shapeId="0" xr:uid="{55A9DB40-2CED-41F7-BF89-B2DE957DDA7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V51" authorId="0" shapeId="0" xr:uid="{C47ADEFF-622A-43A4-AEA7-70C8607857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W51" authorId="0" shapeId="0" xr:uid="{C51ED026-34EC-4B8B-8457-44EADC6DD95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X51" authorId="0" shapeId="0" xr:uid="{C412A475-91C7-43C9-8C7F-69F879B5A0B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Y51" authorId="0" shapeId="0" xr:uid="{D32174C9-05DA-4222-A69A-853EC1AA951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Z51" authorId="0" shapeId="0" xr:uid="{6D67D646-5C73-4421-8154-B00A8E7FEA4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AA51" authorId="0" shapeId="0" xr:uid="{90C77E1C-39D3-48D0-BB2A-525B7F79A90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https://www.geostat.ge/index.php/ka/single-categories/105/biznes-seqtori-sakartveloshi
https://www.geostat.ge/en/page/satsarmoebi-da-datsesebulebebi</t>
        </r>
      </text>
    </comment>
    <comment ref="U52" authorId="0" shapeId="0" xr:uid="{80B9D99C-A076-4622-94BA-D50B6313B99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https://statsghana.gov.gh/gssmain/fileUpload/pressrelease/IBES%20II%20COMPREHENSIVE%20SECTORAL%20REPORT.pdf
https://statsghana.gov.gh/gssmain/fileUpload/pressrelease/SUMMARY%20REPORT_FINAL_FINAL_24-5-16.pdf</t>
        </r>
      </text>
    </comment>
    <comment ref="D60" authorId="1" shapeId="0" xr:uid="{19A9BBF5-A9F4-482B-ACEC-BBFB524FE640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E60" authorId="1" shapeId="0" xr:uid="{A28373FB-0B36-44E9-A800-95047181B371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F60" authorId="1" shapeId="0" xr:uid="{E6E1B174-3F19-4ED5-8008-66E4241CDE3C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G60" authorId="1" shapeId="0" xr:uid="{F5AA773A-7CAF-400B-8131-AF295052A412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H60" authorId="1" shapeId="0" xr:uid="{561491B6-2AB1-482C-A57E-A0DA19525B0F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I60" authorId="1" shapeId="0" xr:uid="{57752B34-F52E-447E-B489-2ED565BDEC2F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J60" authorId="1" shapeId="0" xr:uid="{D5CE9090-5C07-45CC-97AA-6AEECD2988D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Firm Analysis and Competitiveness Survey 2002
</t>
        </r>
      </text>
    </comment>
    <comment ref="K60" authorId="1" shapeId="0" xr:uid="{7EF99497-7EA2-4EE9-B141-08981D176C49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L60" authorId="1" shapeId="0" xr:uid="{E29C66EE-17A3-4B5D-B316-B6986294391B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M60" authorId="1" shapeId="0" xr:uid="{3B3B5A16-7E1E-4526-8DC0-2B39D750D8D8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N60" authorId="1" shapeId="0" xr:uid="{4BC68071-3B8A-4E0D-862C-D87F47B4D910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O60" authorId="1" shapeId="0" xr:uid="{464E171A-D13A-4E5E-8F1B-CB228E1F105B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P60" authorId="1" shapeId="0" xr:uid="{799690ED-B14A-4CC2-A686-27910EB648A6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Q60" authorId="1" shapeId="0" xr:uid="{9D0AD2FB-A13A-4022-96D1-CB5FDE2901DB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R60" authorId="1" shapeId="0" xr:uid="{55463E60-1CCD-459D-9D6C-029F91F8212D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S60" authorId="1" shapeId="0" xr:uid="{DA55F41B-1C4A-4D2D-840E-8B6A3942DFD4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T60" authorId="1" shapeId="0" xr:uid="{EE2FD143-08C5-4A27-84AB-41050613CDDE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U60" authorId="1" shapeId="0" xr:uid="{BB4FFC64-FBD6-45EE-B3CC-986AA0D2A8EF}">
      <text>
        <r>
          <rPr>
            <b/>
            <sz val="9"/>
            <color indexed="81"/>
            <rFont val="Tahoma"/>
            <family val="2"/>
          </rPr>
          <t xml:space="preserve">Aieshwarya Davis: </t>
        </r>
        <r>
          <rPr>
            <sz val="9"/>
            <color indexed="81"/>
            <rFont val="Tahoma"/>
            <family val="2"/>
          </rPr>
          <t>Annual survey of Industries</t>
        </r>
      </text>
    </comment>
    <comment ref="V60" authorId="0" shapeId="0" xr:uid="{CD7FFB5A-A0E9-4E62-B521-DCAD49E32AB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W60" authorId="0" shapeId="0" xr:uid="{79767EEF-D3EE-490C-9A44-22E1B17F0A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X60" authorId="0" shapeId="0" xr:uid="{4F5900DC-229F-406C-BF20-B131F5FD5E6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Y60" authorId="0" shapeId="0" xr:uid="{8F86C25C-8264-4A7E-BC8C-01205F37293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http://microdata.gov.in/nada43/index.php/catalog/ASI#_r=&amp;collection=&amp;country=&amp;dtype=&amp;from=1975&amp;page=1&amp;ps=100&amp;sid=&amp;sk=&amp;sort_by=nation&amp;sort_order=&amp;to=2017&amp;topic=&amp;view=s&amp;vk=</t>
        </r>
      </text>
    </comment>
    <comment ref="D61" authorId="0" shapeId="0" xr:uid="{75F2A7D3-5923-4D56-BA64-0D4CA187379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E61" authorId="0" shapeId="0" xr:uid="{23FF8E7D-E9FB-4C9F-997C-86E1B0FBA8A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F61" authorId="0" shapeId="0" xr:uid="{FC6D4027-460C-4078-8D54-3A869C09FEA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G61" authorId="0" shapeId="0" xr:uid="{F17650BB-407B-4C09-AB2B-2268E117DBB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H61" authorId="0" shapeId="0" xr:uid="{9E21D8B4-D6A4-4E8F-915C-CF090ABAFD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I61" authorId="0" shapeId="0" xr:uid="{8793E939-DF98-4DEF-B70D-512756568F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J61" authorId="0" shapeId="0" xr:uid="{846C4197-2E30-4A76-9039-D25FA152F5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K61" authorId="0" shapeId="0" xr:uid="{085D14FC-BF6A-4C28-8096-FDAE7BA0A0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L61" authorId="0" shapeId="0" xr:uid="{80C3F25D-BD34-4FAB-80C0-66FC04265C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M61" authorId="0" shapeId="0" xr:uid="{D83B10E8-2E28-46C9-A89B-ED36E718B34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N61" authorId="0" shapeId="0" xr:uid="{82C81D43-3532-4348-9254-1726F51CE51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O61" authorId="0" shapeId="0" xr:uid="{DCDB2124-8B81-421E-83E3-DCBAABCAC3F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P61" authorId="0" shapeId="0" xr:uid="{C05B2876-35D8-4430-B2E2-464F6B3534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Q61" authorId="0" shapeId="0" xr:uid="{5DBF792B-88AD-486F-B53C-AE23F782250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R61" authorId="0" shapeId="0" xr:uid="{24EA289F-84DF-48DE-9E18-2FACF7BA333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S61" authorId="0" shapeId="0" xr:uid="{7AB5B685-7233-453F-A8A0-E1DCC1D65C1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T61" authorId="0" shapeId="0" xr:uid="{3F89C915-7EAF-489F-8359-50727559243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U61" authorId="0" shapeId="0" xr:uid="{DDAC2C09-0FCF-4147-BC50-416E7B1C38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V61" authorId="0" shapeId="0" xr:uid="{472D468A-126C-4461-8408-BECDB50937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https://mikrodata.bps.go.id/mikrodata/index.php/catalog/IBS</t>
        </r>
      </text>
    </comment>
    <comment ref="U65" authorId="0" shapeId="0" xr:uid="{53361063-2C2C-488D-B2BC-6C0162EB6A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http://dosweb.dos.gov.jo/product-category/industry/</t>
        </r>
      </text>
    </comment>
    <comment ref="W65" authorId="0" shapeId="0" xr:uid="{CABEA37D-C2E8-45DB-AB5B-FE26466AF86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http://dosweb.dos.gov.jo/product-category/industry/</t>
        </r>
      </text>
    </comment>
    <comment ref="M69" authorId="0" shapeId="0" xr:uid="{E7D0E246-DE5F-4D40-8148-C162BDD7821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N69" authorId="0" shapeId="0" xr:uid="{4E05B499-710A-468C-80AC-79FE04DF39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O69" authorId="0" shapeId="0" xr:uid="{F8A4A1E8-9154-4C3C-81AD-96C110DD17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P69" authorId="0" shapeId="0" xr:uid="{998D2AF4-FDA4-4E82-B2ED-26BDE424BE7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Q69" authorId="0" shapeId="0" xr:uid="{B1CEBB15-F551-423A-99A5-8F324DC04D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R69" authorId="0" shapeId="0" xr:uid="{9A2A2E2C-BED7-4567-892B-9E68A41344D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S69" authorId="0" shapeId="0" xr:uid="{C800736F-485C-4076-894F-FA617D4AF4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T69" authorId="0" shapeId="0" xr:uid="{0FF65614-3869-4707-A7D6-2AA3AAE1380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U69" authorId="0" shapeId="0" xr:uid="{062BFD46-A209-4C93-8D0F-C9BFD64669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V69" authorId="0" shapeId="0" xr:uid="{C6FE2D9C-9FF3-479A-A8DB-D420975344D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W69" authorId="0" shapeId="0" xr:uid="{15876F3C-F4C0-4F1F-8FC8-50A78887E8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X69" authorId="0" shapeId="0" xr:uid="{B567682D-E8E9-4EC7-8A00-41ED8EDA65E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Y69" authorId="0" shapeId="0" xr:uid="{A54D3B12-D74F-419C-8772-8863B180656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Z69" authorId="0" shapeId="0" xr:uid="{14A2C038-6172-43AD-8CF3-919076D4B50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AA69" authorId="0" shapeId="0" xr:uid="{9FFFBB44-5149-4E27-B17F-C5A61324842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https://ask.rks-gov.net/en/kosovo-agency-of-statistics/economy/structural-business-survey</t>
        </r>
      </text>
    </comment>
    <comment ref="K70" authorId="1" shapeId="0" xr:uid="{01E9821E-1127-4A6F-91A7-2294BD228C54}">
      <text>
        <r>
          <rPr>
            <b/>
            <sz val="9"/>
            <color indexed="81"/>
            <rFont val="Tahoma"/>
            <family val="2"/>
          </rPr>
          <t>Aieshwarya Davis:</t>
        </r>
        <r>
          <rPr>
            <sz val="9"/>
            <color indexed="81"/>
            <rFont val="Tahoma"/>
            <family val="2"/>
          </rPr>
          <t xml:space="preserve">
Business environment and enterprise performance survey
</t>
        </r>
      </text>
    </comment>
    <comment ref="Q76" authorId="0" shapeId="0" xr:uid="{A934684E-6E46-464B-A81E-315D14447D1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R76" authorId="0" shapeId="0" xr:uid="{A07A7B89-77E7-4776-8059-252E13FC3DB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S76" authorId="0" shapeId="0" xr:uid="{D00059C2-7777-4606-83B4-AF791D9814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T76" authorId="0" shapeId="0" xr:uid="{C946BC81-83CA-4F56-B232-9979CE14BA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U76" authorId="0" shapeId="0" xr:uid="{31C8BB69-AF97-46A5-9AC9-EC61B3FFAC5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V76" authorId="0" shapeId="0" xr:uid="{19A5E804-C3F5-47F3-8E0E-8177421B51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W76" authorId="0" shapeId="0" xr:uid="{40AD1880-4BA3-482D-871E-8EEAB0CF66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X76" authorId="0" shapeId="0" xr:uid="{C38EDB2F-64DA-42BF-9308-6FFCC521F13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Y76" authorId="0" shapeId="0" xr:uid="{4D1285FF-C596-4997-816E-C220BE53DD7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Z76" authorId="0" shapeId="0" xr:uid="{559E1C44-4AA2-4997-A9E5-E24501C77F3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AA76" authorId="0" shapeId="0" xr:uid="{2F2EB3A9-D017-48D3-B32E-293DB89C013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https://ec.europa.eu/eurostat/cache/metadata/EN/sbs_esms_mk.htm
https://www.stat.gov.mk/PrethodniSoopstenijaOblast_en.aspx?id=111&amp;rbrObl=39</t>
        </r>
      </text>
    </comment>
    <comment ref="T78" authorId="0" shapeId="0" xr:uid="{214100F2-929D-4DD6-98D1-595E4F50268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http://www.nsomalawi.mw/index.php?option=com_content&amp;view=article&amp;id=109&amp;Itemid=96</t>
        </r>
      </text>
    </comment>
    <comment ref="U78" authorId="0" shapeId="0" xr:uid="{0E76F341-BED7-4B43-8B51-84B6BD39CF7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http://www.nsomalawi.mw/index.php?option=com_content&amp;view=article&amp;id=109&amp;Itemid=96</t>
        </r>
      </text>
    </comment>
    <comment ref="Y79" authorId="0" shapeId="0" xr:uid="{02199063-1BEA-41E2-99EA-C09037C646D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https://www.dosm.gov.my/v1/index.php?r=column/cone&amp;menu_id=QmFjRnZZQTRaaFJIVEc2M1pzNTB6Zz09#</t>
        </r>
      </text>
    </comment>
    <comment ref="N81" authorId="0" shapeId="0" xr:uid="{A4261CD1-52C1-4900-AE25-E9A5B3CC0FC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Agricultural Business Survey 2006-2007</t>
        </r>
      </text>
    </comment>
    <comment ref="O81" authorId="0" shapeId="0" xr:uid="{D2B452B4-BD5C-45B1-8C18-9E626723344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Agricultural Business Survey 2007-2008</t>
        </r>
      </text>
    </comment>
    <comment ref="Z85" authorId="0" shapeId="0" xr:uid="{6E65A34B-FCAC-4E94-85EC-079085632CA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https://www.inegi.org.mx/datos/?ps=Programas</t>
        </r>
      </text>
    </comment>
    <comment ref="AA85" authorId="0" shapeId="0" xr:uid="{0B2EF503-81EA-498B-9244-3767297D60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https://www.inegi.org.mx/datos/?ps=Programas</t>
        </r>
      </text>
    </comment>
    <comment ref="P87" authorId="0" shapeId="0" xr:uid="{3A068F08-216E-4D53-94EF-ECAA5FD0F95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Q87" authorId="0" shapeId="0" xr:uid="{278827DD-6B7B-4393-B3D8-B0B39C571AF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R87" authorId="0" shapeId="0" xr:uid="{B4043252-6097-4CB4-A7E0-0CEBFA426F8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S87" authorId="0" shapeId="0" xr:uid="{498AAA2E-7069-4EBD-9D1B-0A165A30194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T87" authorId="0" shapeId="0" xr:uid="{ABA834F5-4554-41BE-B8DE-25612A5DBA4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U87" authorId="0" shapeId="0" xr:uid="{D35AAEAF-32F7-4F1A-A44B-F149A2B8F6A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V87" authorId="0" shapeId="0" xr:uid="{0A6D2716-9CBF-4B4F-BE60-58F6DADA92F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W87" authorId="0" shapeId="0" xr:uid="{C2B6A68E-795B-434A-B656-DEB9F444E60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X87" authorId="0" shapeId="0" xr:uid="{F3A77DC7-8124-42ED-ADDE-0D670D3E8C5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Y87" authorId="0" shapeId="0" xr:uid="{63965B70-8374-4592-8778-E17F41CF99A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Z87" authorId="0" shapeId="0" xr:uid="{D0E8787A-9A6B-447A-8A6D-CBEDB210407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AA87" authorId="0" shapeId="0" xr:uid="{310CADEE-BB94-47D7-867A-ADF7CA2DB43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AB87" authorId="0" shapeId="0" xr:uid="{B40AE02E-4A3E-4600-9DA0-F674DFD50C6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https://statistica.gov.md/pageview.php?l=en&amp;idc=263&amp;id=2207</t>
        </r>
      </text>
    </comment>
    <comment ref="W90" authorId="0" shapeId="0" xr:uid="{4968471D-0841-4260-88E7-D78169BA0A2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https://www.hcp.ma/downloads/Enquete-de-conjoncture-Industrie-de-transformation-mines-et-energie-Batiment-et-travaux-publics-Realisations-et_t13049.html</t>
        </r>
      </text>
    </comment>
    <comment ref="AA90" authorId="0" shapeId="0" xr:uid="{8DC5CE0B-5940-42E1-8356-BB632B54BAC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https://www.hcp.ma/downloads/Enquete-nationale-aupres-des-entreprises_t21558.html</t>
        </r>
      </text>
    </comment>
    <comment ref="W92" authorId="0" shapeId="0" xr:uid="{061259A1-5D22-44CC-95AC-361CF2B4F92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Myanmar Business Survey Report-2015(English)
http://www.mmsis.gov.mm/sub_menu/statistics/fileDb.jsp?code_code=004</t>
        </r>
      </text>
    </comment>
    <comment ref="P95" authorId="0" shapeId="0" xr:uid="{9CEE5DFE-FFCE-45D7-A2AC-B3B80A06F0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Survey of Small Manufacturing Establishments 2008-2009</t>
        </r>
      </text>
    </comment>
    <comment ref="X101" authorId="0" shapeId="0" xr:uid="{B8E33BD3-659C-4B5B-A32B-F7E048EA43C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Y101" authorId="0" shapeId="0" xr:uid="{FE6FBCF0-2E8B-46F4-9D92-A4FFC2E62F2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Z101" authorId="0" shapeId="0" xr:uid="{07FEC940-80F3-404E-9D7E-E92EEF4C960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AA101" authorId="0" shapeId="0" xr:uid="{5AA73AAD-F828-4F73-94C3-3D01CE0DC3D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https://www.inec.gob.pa/publicaciones/Default2.aspx?ID_CATEGORIA=4&amp;ID_SUBCATEGORIA=69</t>
        </r>
      </text>
    </comment>
    <comment ref="W103" authorId="0" shapeId="0" xr:uid="{8E8E3D97-7A13-49C7-82E1-6EFDE6E5B9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https://www.dgeec.gov.py/publication-single.php?codec=Mzg=</t>
        </r>
      </text>
    </comment>
    <comment ref="X103" authorId="0" shapeId="0" xr:uid="{E2EEC3AE-FBAA-47B7-87D8-860418F5126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https://www.dgeec.gov.py/publication-single.php?codec=Mzg=</t>
        </r>
      </text>
    </comment>
    <comment ref="Z104" authorId="0" shapeId="0" xr:uid="{8226179F-D085-474D-A2DF-FB169225EAC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http://webinei.inei.gob.pe/anda_inei/index.php/catalog#_r=&amp;collection=&amp;country=&amp;dtype=&amp;from=2008&amp;page=1&amp;ps=15&amp;sk=&amp;sort_by=proddate&amp;sort_order=desc&amp;to=2020&amp;topic=&amp;view=s&amp;vk=</t>
        </r>
      </text>
    </comment>
    <comment ref="Z105" authorId="0" shapeId="0" xr:uid="{D8787C04-AA4F-4537-A4D0-C886FBBC76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http://psada.psa.gov.ph/index.php/catalog#_r=&amp;collection=&amp;country=&amp;dtype=&amp;from=2006&amp;page=1&amp;ps=100&amp;sid=&amp;sk=&amp;sort_by=proddate&amp;sort_order=desc&amp;to=2019&amp;topic=&amp;view=s&amp;vk=</t>
        </r>
      </text>
    </comment>
    <comment ref="D106" authorId="0" shapeId="0" xr:uid="{9C33867F-34F4-49B4-86F4-A0E245C7D9B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E106" authorId="0" shapeId="0" xr:uid="{C9FE61FF-14C7-43D8-B3E0-F8A4CEFB01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F106" authorId="0" shapeId="0" xr:uid="{2AE5FCC5-232C-44A2-AB93-D2C040242B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G106" authorId="0" shapeId="0" xr:uid="{84564133-23D7-423F-8009-79CAC8149F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H106" authorId="0" shapeId="0" xr:uid="{149D27A0-99FC-468E-B2FC-6B5052C9D93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I106" authorId="0" shapeId="0" xr:uid="{7D1A21F5-80E7-4AF0-98D0-10D22CD2F9A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J106" authorId="0" shapeId="0" xr:uid="{6FA91975-1E21-411E-9139-4364712BB1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K106" authorId="0" shapeId="0" xr:uid="{F81B0889-3568-4D1D-AAB8-E88E7AE506D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L106" authorId="0" shapeId="0" xr:uid="{BBCB6196-B535-42AC-B15F-F384522691E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M106" authorId="0" shapeId="0" xr:uid="{A0560D12-7BB3-4A4C-8D8E-970675951E8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N106" authorId="0" shapeId="0" xr:uid="{401C5FA3-0967-4F9D-916D-B1A6BC699D8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O106" authorId="0" shapeId="0" xr:uid="{FC159565-102A-453B-A51D-E429399DF26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P106" authorId="0" shapeId="0" xr:uid="{3CB9869C-54BC-4AAF-9420-4345FEAF31D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Q106" authorId="0" shapeId="0" xr:uid="{08799AF1-E1B4-477D-A298-917C31B56A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R106" authorId="0" shapeId="0" xr:uid="{8851AB2D-B71C-45E6-BCC8-247EF89A526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S106" authorId="0" shapeId="0" xr:uid="{39823715-21AA-4BE8-999C-59154E41E38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T106" authorId="0" shapeId="0" xr:uid="{22B8BD5A-8C34-46A7-933E-7B5CF8C690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U106" authorId="0" shapeId="0" xr:uid="{EBCBBFEA-4D8F-47D8-AFF1-4A97E280B37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V106" authorId="0" shapeId="0" xr:uid="{0E055D15-088E-4FCD-AD59-D8B93D27A59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W106" authorId="0" shapeId="0" xr:uid="{F8EAB1D6-5E4D-4C01-8ADE-D464BF1A5BE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X106" authorId="0" shapeId="0" xr:uid="{BDA75F72-2ACA-482E-865A-A2C16D28C76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Y106" authorId="0" shapeId="0" xr:uid="{1028211E-E154-429B-AE25-4362FC6A0D2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Z106" authorId="0" shapeId="0" xr:uid="{FFF82E5D-0DB8-417E-B518-500F313296B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https://stat.gov.pl/en/topics/economic-activities-finances/
https://stat.gov.pl/files/gfx/portalinformacyjny/en/defaultaktualnosci/3317/13/1/1/methodological_handbook_non-financial_enterprises_surveys.pdf
https://stat.gov.pl/en/topics/economic-activities-finances/activity-of-enterprises-activity-of-companies/methodological-report-monthly-activity-report-of-enterprises,17,1.html
https://ec.europa.eu/eurostat/cache/metadata/EN/sbs_esms_pl.htm</t>
        </r>
      </text>
    </comment>
    <comment ref="O107" authorId="0" shapeId="0" xr:uid="{AA48DCA4-229F-4941-9576-500F9D52667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P107" authorId="0" shapeId="0" xr:uid="{B0BF9320-766B-432B-88C4-1DB237EC6E9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Q107" authorId="0" shapeId="0" xr:uid="{22BD62D1-218C-4654-9248-E5E77AEFCF8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R107" authorId="0" shapeId="0" xr:uid="{F30D471C-075B-4011-BF8D-5D80974D1A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S107" authorId="0" shapeId="0" xr:uid="{F4AD9F43-68AB-4DA6-A838-8DF6CA33B9E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T107" authorId="0" shapeId="0" xr:uid="{52FA81F2-B9F5-418E-9829-BA545B3C69E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U107" authorId="0" shapeId="0" xr:uid="{BB8CC47F-F402-4D8E-AC12-9BB0490DBA5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V107" authorId="0" shapeId="0" xr:uid="{60EEE5CD-081E-4758-8852-61D5DB1C6EF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W107" authorId="0" shapeId="0" xr:uid="{74B37D57-CB28-4A0A-9490-9C6E36C08E2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X107" authorId="0" shapeId="0" xr:uid="{B209940A-86CA-4F77-834B-90154B1CC1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Y107" authorId="0" shapeId="0" xr:uid="{6E5ED132-1E24-47CB-BEB7-789BABF4AAF1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Z107" authorId="0" shapeId="0" xr:uid="{FD854E81-6C3A-480E-AF24-CAD56F6D2FD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https://insse.ro/cms/en/content/quality-reports
https://insse.ro/cms/en/search/node/Structural%20Business%20Survey
https://ec.europa.eu/eurostat/cache/metadata/EN/sbs_esms_ro.htm
https://insse.ro/cms/ro/content/ancheta-structural%C4%83
</t>
        </r>
      </text>
    </comment>
    <comment ref="W108" authorId="0" shapeId="0" xr:uid="{697A00FE-83C6-4003-9AB8-D156EA65331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https://www.gks.ru/small_business
https://rosstat.gov.ru/small_business</t>
        </r>
      </text>
    </comment>
    <comment ref="Z109" authorId="0" shapeId="0" xr:uid="{47318CD7-E0B4-41AD-BB7C-FC935176252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http://statistics.gov.rw/datasource/integrated-business-enterprise-survey</t>
        </r>
      </text>
    </comment>
    <comment ref="U110" authorId="0" shapeId="0" xr:uid="{A7498584-E7E8-4B2F-9268-02F7AE0A2D3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https://www.sbs.gov.ws/digi/BAS_Final%20Report_re-format_9%20nov.pdf</t>
        </r>
      </text>
    </comment>
    <comment ref="U112" authorId="0" shapeId="0" xr:uid="{757F52DB-2CB4-432B-9D09-2989260ADFE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http://anads.ansd.sn/index.php/catalog/64</t>
        </r>
      </text>
    </comment>
    <comment ref="Y113" authorId="0" shapeId="0" xr:uid="{31FC3529-2EDD-4A90-ACF7-2D5CB45A6A4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https://data.stat.gov.rs/Metadata/19_SBS/Html/1901_ESMS_G0_2017_3.html</t>
        </r>
      </text>
    </comment>
    <comment ref="Z113" authorId="0" shapeId="0" xr:uid="{7D533E70-4256-470A-9ADA-B947F639C88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https://data.stat.gov.rs/Home/Result/190103?languageCode=en-US</t>
        </r>
      </text>
    </comment>
    <comment ref="AA113" authorId="0" shapeId="0" xr:uid="{E487A25C-7A60-4843-9436-B96E3E8D48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https://data.stat.gov.rs/Metadata/19_SBS/Html/1904_ESMS_G0_2019_3.html</t>
        </r>
      </text>
    </comment>
    <comment ref="R119" authorId="0" shapeId="0" xr:uid="{69356016-960F-4114-BE11-F82E944F6F4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http://ssnbs.microdatahub.com/index.php/catalog/10/study-description</t>
        </r>
      </text>
    </comment>
    <comment ref="O120" authorId="0" shapeId="0" xr:uid="{2BB1724A-9DE3-4E8C-9BEF-77768B91DB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P120" authorId="0" shapeId="0" xr:uid="{6CCFFDA5-F1B8-45D3-B6FE-6C1C5003314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Q120" authorId="0" shapeId="0" xr:uid="{BDA3DE19-2D0C-4757-A430-5343C4EC9CE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R120" authorId="0" shapeId="0" xr:uid="{9D5E455B-1BF0-4DA8-8DD1-F68FE313D0A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S120" authorId="0" shapeId="0" xr:uid="{87458499-CAC5-4F50-90FC-174B224859D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T120" authorId="0" shapeId="0" xr:uid="{49FB0CF0-2FD9-455E-BD97-F86A4C959A6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U120" authorId="0" shapeId="0" xr:uid="{B1EA6AB5-0E19-46DB-BB9C-4C7D1A16784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V120" authorId="0" shapeId="0" xr:uid="{7433B270-5DEB-4E7A-AB88-5454F2ED2B38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W120" authorId="0" shapeId="0" xr:uid="{2E8869DE-737E-4967-9567-CF18D6E7710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X120" authorId="0" shapeId="0" xr:uid="{0CCC5D80-B056-4FFA-ACAA-C3EB9A2E5BC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Y120" authorId="0" shapeId="0" xr:uid="{87D9721A-0D49-41C5-9931-86F929D48CCF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Z120" authorId="0" shapeId="0" xr:uid="{4C9AEC01-4822-4142-B8F4-A0A6F0E1230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http://www.statistics.gov.lk/Industry/StaticalInformation/AnnualSurveys</t>
        </r>
      </text>
    </comment>
    <comment ref="R128" authorId="0" shapeId="0" xr:uid="{7A11A5F2-E357-4054-B122-1A65AAEA95C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https://www.nbs.go.tz/index.php/en/census-surveys/business-statistics</t>
        </r>
      </text>
    </comment>
    <comment ref="V128" authorId="0" shapeId="0" xr:uid="{FDA31F25-C0D3-46C0-AC58-2C67406DA9C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https://www.nbs.go.tz/index.php/en/census-surveys/business-statistics</t>
        </r>
      </text>
    </comment>
    <comment ref="X129" authorId="0" shapeId="0" xr:uid="{775B1900-043C-45C6-A170-8106B3B5058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http://www.nso.go.th/sites/2014en/Pages/survey/Economics/Industry/Information_on_the_Manufacturing.aspx</t>
        </r>
      </text>
    </comment>
    <comment ref="Q130" authorId="0" shapeId="0" xr:uid="{462896AE-C092-4F95-93D2-4CE4C83C20E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http://www.statistics.gov.tl/category/survey-indicators/business-activity-surveys/</t>
        </r>
      </text>
    </comment>
    <comment ref="Z130" authorId="0" shapeId="0" xr:uid="{61A9E20C-1456-4AB5-9B29-A9A64586E69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http://www.statistics.gov.tl/category/survey-indicators/business-activity-surveys/</t>
        </r>
      </text>
    </comment>
    <comment ref="S135" authorId="0" shapeId="0" xr:uid="{711C9CA6-E39C-43B4-8C2C-4A6641F5E65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T135" authorId="0" shapeId="0" xr:uid="{96F7466A-F633-462B-A4B9-F5E129657E8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U135" authorId="0" shapeId="0" xr:uid="{84319858-E81E-457F-9EF9-C1BE3525EAF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V135" authorId="0" shapeId="0" xr:uid="{B468EBD3-BE8B-4AF1-8001-AA87968F616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W135" authorId="0" shapeId="0" xr:uid="{4EAF5B85-E420-4CF1-8B95-2D367AB1A28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X135" authorId="0" shapeId="0" xr:uid="{A8471421-D04B-4889-BC2F-CE29597C083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https://data.tuik.gov.tr/Kategori/GetKategori?p=sanayi-114&amp;dil=2</t>
        </r>
      </text>
    </comment>
    <comment ref="I138" authorId="0" shapeId="0" xr:uid="{FC17C49D-CDE5-423F-BD2D-D13885DC93E7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https://www.ubos.org/explore-statistics/32/</t>
        </r>
      </text>
    </comment>
    <comment ref="N138" authorId="0" shapeId="0" xr:uid="{567E8D50-D129-46FA-B273-E0274BA242B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https://www.ubos.org/publications/statistical/32/</t>
        </r>
      </text>
    </comment>
    <comment ref="X139" authorId="0" shapeId="0" xr:uid="{4C5EFF0F-2F0E-47C4-A7AC-A2B3C5692C6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http://www.ukrstat.gov.ua/</t>
        </r>
      </text>
    </comment>
    <comment ref="I140" authorId="0" shapeId="0" xr:uid="{1225EA4A-49CA-48CF-AC4C-88E28FE9F354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J140" authorId="0" shapeId="0" xr:uid="{DD5289BA-E65A-4049-ADC3-6BCC232197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K140" authorId="0" shapeId="0" xr:uid="{E2A559F7-2B58-4EB6-BDDC-5ED72297B636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L140" authorId="0" shapeId="0" xr:uid="{84BB39E2-B9D9-4C1F-B4FB-9FC68D5787C9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M140" authorId="0" shapeId="0" xr:uid="{074E26EA-8D79-4B78-A54D-BDE712991BE3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N140" authorId="0" shapeId="0" xr:uid="{B71B7E13-D62A-429B-89AC-054BE9C978E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O140" authorId="0" shapeId="0" xr:uid="{B1B671FD-ED18-4DE0-B327-F5174A69CF8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P140" authorId="0" shapeId="0" xr:uid="{89A9DC75-8178-4FEB-9963-3C2AC619F202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Q140" authorId="0" shapeId="0" xr:uid="{92633169-79C4-4AAE-842F-6C667C373C8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R140" authorId="0" shapeId="0" xr:uid="{5505B491-4BE6-4102-AD47-D94C3761227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S140" authorId="0" shapeId="0" xr:uid="{6FB31167-E890-403C-A25D-0053829FFD5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T140" authorId="0" shapeId="0" xr:uid="{41A7BE98-7CB3-4511-947A-F1FEBD18998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U140" authorId="0" shapeId="0" xr:uid="{761F72E3-E456-4633-A8DF-F849243B0BDB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V140" authorId="0" shapeId="0" xr:uid="{AB1A9F2A-72B3-4040-8647-4E204A2CEF9D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W140" authorId="0" shapeId="0" xr:uid="{49B87318-0A0C-434E-93EA-FCCB281639E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X140" authorId="0" shapeId="0" xr:uid="{0F70A333-B7EB-41F2-85EA-BACDC228B44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Y140" authorId="0" shapeId="0" xr:uid="{24B93F14-4776-446A-A3A2-2192CBAF1B1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https://www.ine.gub.uy/web/guest/industria-comercio-y-servicios</t>
        </r>
      </text>
    </comment>
    <comment ref="AA141" authorId="0" shapeId="0" xr:uid="{4445B924-A73E-4BC3-8904-17B7A784C87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https://stat.uz/en/550-useful-information/7204-business-enterprise-survey</t>
        </r>
      </text>
    </comment>
    <comment ref="I142" authorId="0" shapeId="0" xr:uid="{7760632E-D4CB-40DC-963F-E9437ABC7FB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https://microdata.pacificdata.org/index.php/catalog/492/related-materials</t>
        </r>
      </text>
    </comment>
    <comment ref="Q144" authorId="0" shapeId="0" xr:uid="{F04C2AF4-486F-4B67-8584-C70B1854D13E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https://www.gso.gov.vn/default_en.aspx?tabid=515&amp;idmid=5&amp;ItemID=11972</t>
        </r>
      </text>
    </comment>
    <comment ref="V144" authorId="0" shapeId="0" xr:uid="{46755E0B-9234-4E19-8BDA-BDF55417A49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https://www.gso.gov.vn/default_en.aspx?tabid=515&amp;idmid=5&amp;ItemID=16020</t>
        </r>
      </text>
    </comment>
    <comment ref="W144" authorId="0" shapeId="0" xr:uid="{38167C59-FCE3-4981-BBDE-2DA439D1CE3A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https://www.gso.gov.vn/default_en.aspx?tabid=515&amp;idmid=5&amp;ItemID=16063</t>
        </r>
      </text>
    </comment>
    <comment ref="X144" authorId="0" shapeId="0" xr:uid="{1EDC8200-052C-4720-8FE1-90577105A3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https://www.gso.gov.vn/en/data-and-statistics/2019/03/results-of-the-survey-on-non-farm-individual-business-establishments-2016/</t>
        </r>
      </text>
    </comment>
    <comment ref="L145" authorId="0" shapeId="0" xr:uid="{F8297DA2-6F3C-4CF5-B501-E012148EE1B0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http://www.cso-yemen.com/content.php?lng=english&amp;cid=127</t>
        </r>
      </text>
    </comment>
    <comment ref="I148" authorId="0" shapeId="0" xr:uid="{E5FEA9E7-9BE1-462B-91D8-8AAEB0E0ACFC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  <comment ref="Z148" authorId="0" shapeId="0" xr:uid="{EE097C79-70A0-4FFD-869C-41EECA9CC6F5}">
      <text>
        <r>
          <rPr>
            <b/>
            <sz val="9"/>
            <color indexed="81"/>
            <rFont val="Tahoma"/>
            <family val="2"/>
          </rPr>
          <t>Dereje Ketema Wolde:</t>
        </r>
        <r>
          <rPr>
            <sz val="9"/>
            <color indexed="81"/>
            <rFont val="Tahoma"/>
            <family val="2"/>
          </rPr>
          <t xml:space="preserve">
http://www.pcbs.gov.ps/pcbs_2012/Publications.aspx</t>
        </r>
      </text>
    </comment>
  </commentList>
</comments>
</file>

<file path=xl/sharedStrings.xml><?xml version="1.0" encoding="utf-8"?>
<sst xmlns="http://schemas.openxmlformats.org/spreadsheetml/2006/main" count="919" uniqueCount="534">
  <si>
    <t>Time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</si>
  <si>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</si>
  <si>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</si>
  <si>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</si>
  <si>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</si>
  <si>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</si>
  <si>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</si>
  <si>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</si>
  <si>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</si>
  <si>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</si>
  <si>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</si>
  <si>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</si>
  <si>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</si>
  <si>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</si>
  <si>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</si>
  <si>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</si>
  <si>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</si>
  <si>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</si>
  <si>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</si>
  <si>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</si>
  <si>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</si>
  <si>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</si>
  <si>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</si>
  <si>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</si>
  <si>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</si>
  <si>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</si>
  <si>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</si>
  <si>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</si>
  <si>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</si>
  <si>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</si>
  <si>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SC.SVY.BIZZ.ZS</t>
  </si>
  <si>
    <t>ALB</t>
  </si>
  <si>
    <t>DZA</t>
  </si>
  <si>
    <t>AGO</t>
  </si>
  <si>
    <t>ATG</t>
  </si>
  <si>
    <t>ARG</t>
  </si>
  <si>
    <t>ARM</t>
  </si>
  <si>
    <t>AZE</t>
  </si>
  <si>
    <t>BGD</t>
  </si>
  <si>
    <t>BLR</t>
  </si>
  <si>
    <t>BLZ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</si>
  <si>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</si>
  <si>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</si>
  <si>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</si>
  <si>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</si>
  <si>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</si>
  <si>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</si>
  <si>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</si>
  <si>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</si>
  <si>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</si>
  <si>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</si>
  <si>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</si>
  <si>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</si>
  <si>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</si>
  <si>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</si>
  <si>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</si>
  <si>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</si>
  <si>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</si>
  <si>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</si>
  <si>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</si>
  <si>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</si>
  <si>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</si>
  <si>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</si>
  <si>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</si>
  <si>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DJI</t>
  </si>
  <si>
    <t>DMA</t>
  </si>
  <si>
    <t>DOM</t>
  </si>
  <si>
    <t>ECU</t>
  </si>
  <si>
    <t>EGY</t>
  </si>
  <si>
    <t>SLV</t>
  </si>
  <si>
    <t>GNQ</t>
  </si>
  <si>
    <t>ERI</t>
  </si>
  <si>
    <t>SWZ</t>
  </si>
  <si>
    <t>ETH</t>
  </si>
  <si>
    <t>FJI</t>
  </si>
  <si>
    <t>GAB</t>
  </si>
  <si>
    <t>GMB</t>
  </si>
  <si>
    <t>GEO</t>
  </si>
  <si>
    <t>GHA</t>
  </si>
  <si>
    <t>GRD</t>
  </si>
  <si>
    <t>GTM</t>
  </si>
  <si>
    <t>GIN</t>
  </si>
  <si>
    <t>GNB</t>
  </si>
  <si>
    <t>GUY</t>
  </si>
  <si>
    <t>HTI</t>
  </si>
  <si>
    <t>HND</t>
  </si>
  <si>
    <t>IND</t>
  </si>
  <si>
    <t>IDN</t>
  </si>
  <si>
    <t>IRN</t>
  </si>
  <si>
    <t>IRQ</t>
  </si>
  <si>
    <t>JAM</t>
  </si>
  <si>
    <t>JOR</t>
  </si>
  <si>
    <t>KAZ</t>
  </si>
  <si>
    <t>KEN</t>
  </si>
  <si>
    <t>KIR</t>
  </si>
  <si>
    <t>XKX</t>
  </si>
  <si>
    <t>KGZ</t>
  </si>
  <si>
    <t>LAO</t>
  </si>
  <si>
    <t>LBN</t>
  </si>
  <si>
    <t>LSO</t>
  </si>
  <si>
    <t>LBR</t>
  </si>
  <si>
    <t>LBY</t>
  </si>
  <si>
    <t>MKD</t>
  </si>
  <si>
    <t>MDG</t>
  </si>
  <si>
    <t>MWI</t>
  </si>
  <si>
    <t>MYS</t>
  </si>
  <si>
    <t>MDV</t>
  </si>
  <si>
    <t>MLI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</si>
  <si>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</si>
  <si>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</si>
  <si>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</si>
  <si>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</si>
  <si>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</si>
  <si>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</si>
  <si>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</si>
  <si>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</si>
  <si>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</si>
  <si>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</si>
  <si>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</si>
  <si>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</si>
  <si>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</si>
  <si>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</si>
  <si>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NIC</t>
  </si>
  <si>
    <t>NER</t>
  </si>
  <si>
    <t>NGA</t>
  </si>
  <si>
    <t>PAK</t>
  </si>
  <si>
    <t>PLW</t>
  </si>
  <si>
    <t>PAN</t>
  </si>
  <si>
    <t>PNG</t>
  </si>
  <si>
    <t>PRY</t>
  </si>
  <si>
    <t>PER</t>
  </si>
  <si>
    <t>PHL</t>
  </si>
  <si>
    <t>POL</t>
  </si>
  <si>
    <t>ROU</t>
  </si>
  <si>
    <t>RUS</t>
  </si>
  <si>
    <t>RWA</t>
  </si>
  <si>
    <t>WSM</t>
  </si>
  <si>
    <t>STP</t>
  </si>
  <si>
    <t>SEN</t>
  </si>
  <si>
    <t>SRB</t>
  </si>
  <si>
    <t>SYC</t>
  </si>
  <si>
    <t>SLE</t>
  </si>
  <si>
    <t>SLB</t>
  </si>
  <si>
    <t>SOM</t>
  </si>
  <si>
    <t>ZAF</t>
  </si>
  <si>
    <t>SSD</t>
  </si>
  <si>
    <t>LKA</t>
  </si>
  <si>
    <t>KNA</t>
  </si>
  <si>
    <t>LCA</t>
  </si>
  <si>
    <t>VCT</t>
  </si>
  <si>
    <t>SDN</t>
  </si>
  <si>
    <t>SUR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</si>
  <si>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</si>
  <si>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</si>
  <si>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</si>
  <si>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</si>
  <si>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</si>
  <si>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</si>
  <si>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</si>
  <si>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</si>
  <si>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</si>
  <si>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</si>
  <si>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</si>
  <si>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</si>
  <si>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</si>
  <si>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</si>
  <si>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URY</t>
  </si>
  <si>
    <t>UZB</t>
  </si>
  <si>
    <t>VUT</t>
  </si>
  <si>
    <t>VEN</t>
  </si>
  <si>
    <t>VNM</t>
  </si>
  <si>
    <t>YEM</t>
  </si>
  <si>
    <t>ZMB</t>
  </si>
  <si>
    <t>ZWE</t>
  </si>
  <si>
    <t>PSE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</si>
  <si>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</si>
  <si>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</si>
  <si>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</si>
  <si>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</si>
  <si>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</si>
  <si>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</si>
  <si>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</si>
  <si>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</si>
  <si>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</si>
  <si>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</si>
  <si>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</si>
  <si>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</si>
  <si>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</si>
  <si>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</si>
  <si>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</si>
  <si>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</si>
  <si>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</si>
  <si>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</si>
  <si>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</si>
  <si>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</si>
  <si>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</si>
  <si>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</si>
  <si>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</si>
  <si>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</si>
  <si>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</si>
  <si>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</si>
  <si>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</si>
  <si>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</si>
  <si>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</si>
  <si>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</si>
  <si>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</si>
  <si>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</si>
  <si>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</si>
  <si>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</si>
  <si>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</si>
  <si>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</si>
  <si>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</si>
  <si>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</si>
  <si>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</si>
  <si>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</si>
  <si>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</si>
  <si>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</si>
  <si>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</si>
  <si>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</si>
  <si>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</si>
  <si>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>MDL</t>
  </si>
  <si>
    <t>NSO/other internationl organization</t>
  </si>
  <si>
    <t>Enterprise Surveys</t>
  </si>
  <si>
    <t>Country</t>
  </si>
  <si>
    <t>Years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</si>
  <si>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</si>
  <si>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</si>
  <si>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</si>
  <si>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</si>
  <si>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</si>
  <si>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</si>
  <si>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</si>
  <si>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</si>
  <si>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</si>
  <si>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</si>
  <si>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</si>
  <si>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</si>
  <si>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</si>
  <si>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</si>
  <si>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</si>
  <si>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</si>
  <si>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</si>
  <si>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</si>
  <si>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</si>
  <si>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</si>
  <si>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</si>
  <si>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</si>
  <si>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</si>
  <si>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</si>
  <si>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</si>
  <si>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</si>
  <si>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</si>
  <si>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</si>
  <si>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</si>
  <si>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</si>
  <si>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</si>
  <si>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</si>
  <si>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Côte d'Ivoire</t>
  </si>
  <si>
    <t>Croatia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</si>
  <si>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</si>
  <si>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</si>
  <si>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</si>
  <si>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</si>
  <si>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</si>
  <si>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</si>
  <si>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</si>
  <si>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</si>
  <si>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Eswatini</t>
  </si>
  <si>
    <t>Ethiopia</t>
  </si>
  <si>
    <t>Fiji</t>
  </si>
  <si>
    <t>Gabon</t>
  </si>
  <si>
    <t>Gambia, The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</si>
  <si>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</si>
  <si>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</si>
  <si>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</si>
  <si>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</si>
  <si>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</si>
  <si>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</si>
  <si>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</si>
  <si>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</si>
  <si>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</si>
  <si>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</si>
  <si>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</si>
  <si>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Iran, Islamic Rep.</t>
  </si>
  <si>
    <t>Iraq</t>
  </si>
  <si>
    <t>Jamaica</t>
  </si>
  <si>
    <t>Jordan</t>
  </si>
  <si>
    <t>Kazakhstan</t>
  </si>
  <si>
    <t>Kenya</t>
  </si>
  <si>
    <t>Kiribati</t>
  </si>
  <si>
    <t>Kosovo</t>
  </si>
  <si>
    <t>Kyrgyz Republic</t>
  </si>
  <si>
    <t>Lao PDR</t>
  </si>
  <si>
    <t>Lebanon</t>
  </si>
  <si>
    <t>Lesotho</t>
  </si>
  <si>
    <t>Liberia</t>
  </si>
  <si>
    <t>Libya</t>
  </si>
  <si>
    <t>Macedonia, FYR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</si>
  <si>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</si>
  <si>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</si>
  <si>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</si>
  <si>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</si>
  <si>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</si>
  <si>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</si>
  <si>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</si>
  <si>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</si>
  <si>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</si>
  <si>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</si>
  <si>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</si>
  <si>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</si>
  <si>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</si>
  <si>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</si>
  <si>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</si>
  <si>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</si>
  <si>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</si>
  <si>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</si>
  <si>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</si>
  <si>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</si>
  <si>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Niger</t>
  </si>
  <si>
    <t>Nigeria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</si>
  <si>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</si>
  <si>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</si>
  <si>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</si>
  <si>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</si>
  <si>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</si>
  <si>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</si>
  <si>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</si>
  <si>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</si>
  <si>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Romania</t>
  </si>
  <si>
    <t>Russian Federation</t>
  </si>
  <si>
    <t>Rwanda</t>
  </si>
  <si>
    <t>Samoa</t>
  </si>
  <si>
    <t>São Tomé and Principe</t>
  </si>
  <si>
    <t>Senegal</t>
  </si>
  <si>
    <t>Serbia</t>
  </si>
  <si>
    <t>Seychelles</t>
  </si>
  <si>
    <t>Sierra Leone</t>
  </si>
  <si>
    <t>Solomon Islands</t>
  </si>
  <si>
    <t>Somalia</t>
  </si>
  <si>
    <t>South Africa</t>
  </si>
  <si>
    <t>South Sudan</t>
  </si>
  <si>
    <t>Sri Lanka</t>
  </si>
  <si>
    <t>St. Kitts and Nevis</t>
  </si>
  <si>
    <t>St. Lucia</t>
  </si>
  <si>
    <t>St. Vincent and the Grenadines</t>
  </si>
  <si>
    <t>Sudan</t>
  </si>
  <si>
    <t>Suriname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</si>
  <si>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</si>
  <si>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</si>
  <si>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</si>
  <si>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</si>
  <si>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</si>
  <si>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</si>
  <si>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</si>
  <si>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</si>
  <si>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</si>
  <si>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</si>
  <si>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</si>
  <si>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</si>
  <si>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</si>
  <si>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</si>
  <si>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Uruguay</t>
  </si>
  <si>
    <t>Uzbekistan</t>
  </si>
  <si>
    <t>Vanuatu</t>
  </si>
  <si>
    <t>Venezuela, RB</t>
  </si>
  <si>
    <t>Vietnam</t>
  </si>
  <si>
    <t>Yemen, Rep.</t>
  </si>
  <si>
    <t>Zambia</t>
  </si>
  <si>
    <t>Zimbabwe</t>
  </si>
  <si>
    <t>West Bank and Gaza</t>
  </si>
  <si>
    <t>Bahrain</t>
  </si>
  <si>
    <t>https://www.data.gov.bh/en/ResourceCenter</t>
  </si>
  <si>
    <t>Barbados</t>
  </si>
  <si>
    <t>https://microdata.worldbank.org/index.php/catalog/865</t>
  </si>
  <si>
    <t>Czech Republic</t>
  </si>
  <si>
    <t>https://ec.europa.eu/eurostat/cache/metadata/EN/sbs_esms_cz.htm</t>
  </si>
  <si>
    <t>https://www.czso.cz/csu/czso/annual-structural-business-statistics-methodology</t>
  </si>
  <si>
    <t>Greece</t>
  </si>
  <si>
    <t>https://ec.europa.eu/eurostat/cache/metadata/EN/sbs_esms_el.htm</t>
  </si>
  <si>
    <t>https://www.statistics.gr/en/statistics/ind</t>
  </si>
  <si>
    <t>Hungary</t>
  </si>
  <si>
    <t>https://ec.europa.eu/eurostat/cache/metadata/EN/sbs_esms_hu.htm</t>
  </si>
  <si>
    <t>Latvia</t>
  </si>
  <si>
    <t>https://ec.europa.eu/eurostat/cache/metadata/EN/sbs_esms_lv.htm</t>
  </si>
  <si>
    <t>https://www.csb.gov.lv/en/statistics/statistics-by-theme/enterprises/structural-business-statistics/tables/metadata-key-structural-business</t>
  </si>
  <si>
    <t>Lithuania</t>
  </si>
  <si>
    <t>https://ec.europa.eu/eurostat/cache/metadata/EN/sbs_esms_lt.htm</t>
  </si>
  <si>
    <t>https://osp.stat.gov.lt/imoniu-statistika</t>
  </si>
  <si>
    <t>Oman</t>
  </si>
  <si>
    <t>https://www.ncsi.gov.om/Elibrary/Pages/LibraryContentDetails.aspx?ItemID=caKk2KP91AtyaaPuIOUHRw%3d%3d</t>
  </si>
  <si>
    <t>Saudi Arabia</t>
  </si>
  <si>
    <t>https://www.stats.gov.sa/en/64</t>
  </si>
  <si>
    <t>Slovak Republic</t>
  </si>
  <si>
    <t>https://ec.europa.eu/eurostat/cache/metadata/EN/sbs_esms_sk.htm</t>
  </si>
  <si>
    <t>http://datacube.statistics.sk/#!/view/en/VBD_SLOVSTAT/nu2056rs/v_nu2056rs_00_00_00_en</t>
  </si>
  <si>
    <t>Andorra</t>
  </si>
  <si>
    <t>United Arab Emirates</t>
  </si>
  <si>
    <t>Australia</t>
  </si>
  <si>
    <t>https://www.abs.gov.au/AUSSTATS/abs@.nsf/second+level+view?ReadForm&amp;prodno=5676.0&amp;viewtitle=Business%20Indicators,%20Australia~Jun%202020~Latest~31/08/2020&amp;&amp;tabname=Past%20Future%20Issues&amp;prodno=5676.0&amp;issue=Jun%202020&amp;num=&amp;view=&amp;</t>
  </si>
  <si>
    <t>Austria</t>
  </si>
  <si>
    <t>http://www.statistik.at/web_en/statistics/Economy/enterprises/structural_business_statistics/index.html</t>
  </si>
  <si>
    <t>https://www.statistik.at/en/statistics/industry-construction-trade-and-services/structural-business-statistics</t>
  </si>
  <si>
    <t>Belgium</t>
  </si>
  <si>
    <t>https://statbel.fgov.be/fr/themes/entreprises/statistiques-structurelles-sur-les-entreprises#documents</t>
  </si>
  <si>
    <t>https://ec.europa.eu/eurostat/cache/metadata/EN/sbs_esms_be.htm</t>
  </si>
  <si>
    <t>Bahamas, The</t>
  </si>
  <si>
    <t>Brunei Darussalam</t>
  </si>
  <si>
    <t>https://deps.mofe.gov.bn/DEPD%20Documents%20Library/DOS/Annual%20Census%20Entprise_ACE/PR_ACE2021.pdf</t>
  </si>
  <si>
    <t>Canada</t>
  </si>
  <si>
    <t>https://www23.statcan.gc.ca/imdb/pIX.pl?Function=getThemeSV&amp;PItem_Id=97413&amp;PCE_Id=365&amp;PCE_Start=01010001&amp;CItem_Id=97413&amp;CCE_Id=365&amp;CCE_Start=01010001&amp;lang=en</t>
  </si>
  <si>
    <t>https://www23.statcan.gc.ca/imdb/p2SV.pl?Function=getInstanceList&amp;Id=1284954</t>
  </si>
  <si>
    <t>https://www23.statcan.gc.ca/imdb/p2SV.pl?Function=getSurvey&amp;SDDS=2152</t>
  </si>
  <si>
    <t>https://www23.statcan.gc.ca/imdb/p2SV.pl?Function=getInstanceList&amp;Id=96658</t>
  </si>
  <si>
    <t>Switzerland</t>
  </si>
  <si>
    <t>https://www.bfs.admin.ch/bfs/fr/home/statistiques/industrie-services/enquetes/statent.html#microdonn_es__content_bfs_fr_home_statistiken_industrie-dienstleistungen_erhebungen_statent_jcr_content_par_tabs</t>
  </si>
  <si>
    <t>https://ec.europa.eu/eurostat/cache/metadata/EN/sbs_esms_ch.htm</t>
  </si>
  <si>
    <t>Cyprus</t>
  </si>
  <si>
    <t>https://www.mof.gov.cy/mof/cystat/statistics.nsf/labour_33main_en/labour_33main_en?OpenForm&amp;sub=3&amp;sel=1</t>
  </si>
  <si>
    <t>https://ec.europa.eu/eurostat/cache/metadata/EN/sbs_esms_cy.htm</t>
  </si>
  <si>
    <t>Germany</t>
  </si>
  <si>
    <t>https://www.destatis.de/EN/Themes/Economic-Sectors-Enterprises/Enterprises/_node.html</t>
  </si>
  <si>
    <t>https://www.destatis.de/EN/Themes/Economic-Sectors-Enterprises/eu-enterprise-concept.html</t>
  </si>
  <si>
    <t>https://ec.europa.eu/eurostat/cache/metadata/EN/sbs_esms_de.htm</t>
  </si>
  <si>
    <t>http://www.forschungsdatenzentrum.de/de/sonstige-wirtschaftsstatistiken/afid-panel-urs</t>
  </si>
  <si>
    <t>Denmark</t>
  </si>
  <si>
    <t>https://www.statbank.dk/10327</t>
  </si>
  <si>
    <t>https://ec.europa.eu/eurostat/cache/metadata/EN/sbs_esms_dk.htm</t>
  </si>
  <si>
    <t>https://www.dst.dk/en/Statistik/dokumentation/documentationofstatistics/industry-survey</t>
  </si>
  <si>
    <t>Spain</t>
  </si>
  <si>
    <t>https://www.ine.es/dyngs/INEbase/en/operacion.htm?c=Estadistica_C&amp;cid=1254736176865&amp;menu=metodologia&amp;idp=1254735576550</t>
  </si>
  <si>
    <t>https://ec.europa.eu/eurostat/cache/metadata/EN/sbs_esms_es.htm</t>
  </si>
  <si>
    <t>Estonia</t>
  </si>
  <si>
    <t>https://www.stat.ee/en/find-statistics/methodology-and-quality/esms-metadata</t>
  </si>
  <si>
    <t>https://www.stat.ee/en/find-statistics/methodology-and-quality/esms-metadata/21101#18-Statistical-processing-17</t>
  </si>
  <si>
    <t>https://ec.europa.eu/eurostat/cache/metadata/EN/sbs_esms_ee.htm</t>
  </si>
  <si>
    <t>https://www.stat.ee/en/find-statistics/methodology-and-quality/esms-metadata/20007#18-Statistical-processing-17</t>
  </si>
  <si>
    <t>Finland</t>
  </si>
  <si>
    <t>http://www.stat.fi/til/palhy/tau_en.html</t>
  </si>
  <si>
    <t>https://ec.europa.eu/eurostat/cache/metadata/EN/sbs_esms_fi.htm</t>
  </si>
  <si>
    <t>http://pxnet2.stat.fi/PXWeb/pxweb/en/StatFin/StatFin__pav__palhy/</t>
  </si>
  <si>
    <t>France</t>
  </si>
  <si>
    <t>https://www.insee.fr/en/metadonnees/source/serie/s1269</t>
  </si>
  <si>
    <t>https://ec.europa.eu/eurostat/cache/metadata/EN/sbs_esms_fr.htm</t>
  </si>
  <si>
    <t>https://www.insee.fr/en/metadonnees/source/serie/s1021</t>
  </si>
  <si>
    <t>https://www.insee.fr/en/metadonnees/source/serie/s1187</t>
  </si>
  <si>
    <t>https://www.insee.fr/en/metadonnees/source/serie/s1186</t>
  </si>
  <si>
    <t>United Kingdom</t>
  </si>
  <si>
    <t>https://webarchive.nationalarchives.gov.uk/20160108033024/http://www.ons.gov.uk/ons/guide-method/method-quality/specific/business-and-energy/annual-business-survey/history-and-background/index.html</t>
  </si>
  <si>
    <t>https://webarchive.nationalarchives.gov.uk/20160106042657/http://www.ons.gov.uk/ons/rel/abs/annual-business-survey/index.html</t>
  </si>
  <si>
    <t>https://webarchive.nationalarchives.gov.uk/20160108033031/http://www.ons.gov.uk/ons/rel/abs/annual-business-inquiry/index.html</t>
  </si>
  <si>
    <t>https://www.ons.gov.uk/surveys/informationforbusinesses/businesssurveys/annualbusinesssurvey</t>
  </si>
  <si>
    <t>https://www.ons.gov.uk/aboutus/whatwedo/paidservices/interdepartmentalbusinessregisteridbr</t>
  </si>
  <si>
    <t>https://www.ons.gov.uk/businessindustryandtrade/business/businessservices/bulletins/uknonfinancialbusinesseconomy/previousReleases
https://www.ons.gov.uk/surveys/informationforbusinesses/businesssurveys/staticlist</t>
  </si>
  <si>
    <t>Ireland</t>
  </si>
  <si>
    <t>https://www.cso.ie/en/releasesandpublications/er/sbs/structuralbusinessstatistics2018/</t>
  </si>
  <si>
    <t>https://www.cso.ie/en/databases/structuralbusinessstatistics/</t>
  </si>
  <si>
    <t>https://ec.europa.eu/eurostat/cache/metadata/EN/sbs_esms_ie.htm</t>
  </si>
  <si>
    <t>Iceland</t>
  </si>
  <si>
    <t>https://statice.is/statistics/business-sectors/enterprises/structural-business-statistics/</t>
  </si>
  <si>
    <t>http://hagstofan.s3.amazonaws.com/media/public/2019/054697d7-3bdd-479c-9686-02dd66971569.pdf</t>
  </si>
  <si>
    <t>https://ec.europa.eu/eurostat/cache/metadata/EN/sbs_esms_is.htm</t>
  </si>
  <si>
    <t>Israel</t>
  </si>
  <si>
    <t>https://microdata.worldbank.org/index.php/catalog/2058</t>
  </si>
  <si>
    <t>https://www.cbs.gov.il/en/subjects/Pages/Business-Trends.aspx&amp;corid=7063563d-925a-a2cf-100a-ccd57db906b8</t>
  </si>
  <si>
    <t>Italy</t>
  </si>
  <si>
    <t>http://siqual.istat.it/SIQual/visualizza.do?id=8889015</t>
  </si>
  <si>
    <t>http://siqual.istat.it/SIQual/sintesi.do?id=8888936</t>
  </si>
  <si>
    <t>http://siqual.istat.it/SIQual/elencoCompleto.do</t>
  </si>
  <si>
    <t>https://ec.europa.eu/eurostat/cache/metadata/EN/sbs_esms_it.htm</t>
  </si>
  <si>
    <t>Japan</t>
  </si>
  <si>
    <t>http://www.stat.go.jp/english/data/kojinke/index.html</t>
  </si>
  <si>
    <t>https://www.e-stat.go.jp/en/stat-search/files?page=1&amp;toukei=00200541&amp;bunya_l=07&amp;tstat=000000210001&amp;result_page=1</t>
  </si>
  <si>
    <t>http://www.stat.go.jp/english/data/kojinke/2018q/index.html</t>
  </si>
  <si>
    <t>http://www.stat.go.jp/english/data/kojinke/2018/index.html</t>
  </si>
  <si>
    <t>https://www.stat.go.jp/english/data/kojinke/gaiyou.html</t>
  </si>
  <si>
    <t>Korea, Rep.</t>
  </si>
  <si>
    <t>http://kostat.go.kr/portal/eng/surveyOutline/3/8/index.static</t>
  </si>
  <si>
    <t>http://kostat.go.kr/portal/eng/pressReleases/4/3/index.board</t>
  </si>
  <si>
    <t>Kuwait</t>
  </si>
  <si>
    <t>https://www.csb.gov.kw/Pages/Statistics?ID=28&amp;ParentCatID=3</t>
  </si>
  <si>
    <t>Luxembourg</t>
  </si>
  <si>
    <t>https://statistiques.public.lu/stat/ReportFolders/ReportFolder.aspx?IF_Language=eng&amp;MainTheme=4&amp;FldrName=1&amp;RFPath=9796</t>
  </si>
  <si>
    <t>https://statistiques.public.lu/en/surveys/espace-enterprises/business-survey/index.html</t>
  </si>
  <si>
    <t>Malta</t>
  </si>
  <si>
    <t>https://nso.gov.mt/en/nso/Sources_and_Methods/Unit_B1/Structural_Business_Statistics/Pages/Structural-Business-Statistics.aspx</t>
  </si>
  <si>
    <t>https://nso.gov.mt/metadata/reports.aspx?id=12</t>
  </si>
  <si>
    <t>https://nso.gov.mt/en/publicatons/Publications_by_Unit/Pages/B1-Structural-Business-Statistics.aspx</t>
  </si>
  <si>
    <t>https://nso.gov.mt/en/publicatons/Publications_by_Unit/Documents/B1_Structural_Business_Statistics/Structural_Business_Statistics.pdf</t>
  </si>
  <si>
    <t>https://nso.gov.mt/en/nso/About_NSO/Documents/Annual_Reports/Annual_report_2018.pdf</t>
  </si>
  <si>
    <t>Netherlands</t>
  </si>
  <si>
    <t>https://www.cbs.nl/en-gb/our-services/methods/surveys/korte-onderzoeksbeschrijvingen/business-survey-netherlands-region-month</t>
  </si>
  <si>
    <t>https://www.cbs.nl/en-gb/our-services/methods/surveys/korte-onderzoeksbeschrijvingen/business-survey-netherlands-quarterly</t>
  </si>
  <si>
    <t>https://opendata.cbs.nl/statline/#/CBS/nl/dataset/81238ned/table?ts=1600888891095</t>
  </si>
  <si>
    <t>https://ec.europa.eu/eurostat/cache/metadata/EN/sbs_esms_nl.htm</t>
  </si>
  <si>
    <t>Norway</t>
  </si>
  <si>
    <t>https://www.ssb.no/en/virksomheter-foretak-og-regnskap/statistikker/naringer/endelige-tall</t>
  </si>
  <si>
    <t>https://www.ssb.no/en/statbank/list/naringer</t>
  </si>
  <si>
    <t>https://ec.europa.eu/eurostat/cache/metadata/EN/sbs_esms_no.htm</t>
  </si>
  <si>
    <t>New Zealand</t>
  </si>
  <si>
    <t>https://www.stats.govt.nz/help-with-surveys/business-survey-information/</t>
  </si>
  <si>
    <t>http://archive.stats.govt.nz/infoshare/Default.aspx</t>
  </si>
  <si>
    <t>https://www.stats.govt.nz/help-with-surveys/list-of-stats-nz-surveys/about-the-business-operations-survey/</t>
  </si>
  <si>
    <t>http://nzdotstat.stats.govt.nz/wbos/Index.aspx?_ga=2.195876908.103208402.1601484870-1420100070.1601484870#</t>
  </si>
  <si>
    <t>Portugal</t>
  </si>
  <si>
    <t>https://www.ine.pt/xportal/xmain?PORTLET_ID=JSP&amp;xpgid=ine_publicacoes&amp;xpid=INE&amp;PORTLET_NAME=ine_cont_header_pub_en&amp;PORTLET_UID=%23JSP%3Aine_cont_header_pub_en%23&amp;PUBLICACOEStema=5414365&amp;PUBLICACOESdata_inicial=&amp;PUBLICACOESdata_final=&amp;PUBLICACOESfreeText=
https://ec.europa.eu/eurostat/cache/metadata/EN/sbs_esms_pt.htm</t>
  </si>
  <si>
    <t>https://www.ine.pt/xportal/xmain?xpid=INE&amp;xpgid=ine_publicacoes&amp;PUBLICACOESpagenumber=2&amp;PUBLICACOESrevista=00&amp;PUBLICACOESfreeText=Enterprises%20in%20Portugal&amp;PUBLICACOEStema=55487</t>
  </si>
  <si>
    <t>https://ec.europa.eu/eurostat/cache/metadata/EN/sbs_esms_pt.htm</t>
  </si>
  <si>
    <t>Qatar</t>
  </si>
  <si>
    <t>https://www.psa.gov.qa/en/statistics1/pages/topicslisting.aspx?parent=Economic&amp;child=BusinessServices</t>
  </si>
  <si>
    <t>https://www.psa.gov.qa/en/statistics1/pages/topicslisting.aspx?parent=Economic&amp;child=GeneralEconomicStatistics</t>
  </si>
  <si>
    <t>Singapore</t>
  </si>
  <si>
    <t>https://www.singstat.gov.sg/our-services-and-tools/public-sector-surveys</t>
  </si>
  <si>
    <t>https://www.singstat.gov.sg/publications/industry/sss-the-services-sector</t>
  </si>
  <si>
    <t>https://www.singstat.gov.sg/our-services-and-tools/public-sector-surveys/frequently-asked-questions-on-business-surveys</t>
  </si>
  <si>
    <t>https://www.tablebuilder.singstat.gov.sg/publicfacing/createDataTable.action?refId=13033</t>
  </si>
  <si>
    <t>https://www.singstat.gov.sg/find-data/search-by-theme?type=publications</t>
  </si>
  <si>
    <t>Slovenia</t>
  </si>
  <si>
    <t>https://www.stat.si/StatWeb/en/Field/Index/16/103</t>
  </si>
  <si>
    <t>https://www.stat.si/StatWeb/File/DocSysFile/8073</t>
  </si>
  <si>
    <t>https://www.stat.si/StatWeb/File/DocSysFile/8019</t>
  </si>
  <si>
    <t>https://www.stat.si/StatWeb/File/DocSysFile/8099</t>
  </si>
  <si>
    <t>https://www.stat.si/StatWeb/File/DocSysFile/820/13_SPK_SBS_2005_En.pdf</t>
  </si>
  <si>
    <t>https://ec.europa.eu/eurostat/cache/metadata/EN/sbs_esms_si.htm</t>
  </si>
  <si>
    <t>Sweden</t>
  </si>
  <si>
    <t>http://www.statistikdatabasen.scb.se/pxweb/sv/ssd/</t>
  </si>
  <si>
    <t>https://www.scb.se/en/data-collection/surveys/Structural-Business-Statistics/</t>
  </si>
  <si>
    <t>https://www.scb.se/contentassets/621efb139dad482fb522fa835dd5df0b/structural-business-statistics.pdf</t>
  </si>
  <si>
    <t>https://ec.europa.eu/eurostat/cache/metadata/EN/sbs_esms_se.htm</t>
  </si>
  <si>
    <t>https://www.scb.se/en/finding-statistics/statistics-by-subject-area/business-activities/structure-of-the-business-sector/structural-business-statistics/</t>
  </si>
  <si>
    <t>United States</t>
  </si>
  <si>
    <t>https://www.census.gov/programs-surveys/susb/about.html</t>
  </si>
  <si>
    <t>https://www.census.gov/programs-surveys/abs.html</t>
  </si>
  <si>
    <t>https://www.census.gov/newsroom/press-releases/2018/annual-business-survey.html</t>
  </si>
  <si>
    <t>https://www.census.gov/programs-surveys/abs/data.html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</si>
</sst>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8" fillId="3" borderId="0" xfId="1" applyFont="1" applyFill="1" applyAlignment="1">
      <alignment horizontal="left"/>
    </xf>
    <xf numFmtId="0" fontId="8" fillId="4" borderId="0" xfId="1" applyFont="1" applyFill="1" applyAlignment="1">
      <alignment horizontal="left"/>
    </xf>
    <xf numFmtId="0" fontId="4" fillId="7" borderId="1" xfId="1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164" fontId="5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2" xfId="0" applyFont="1" applyBorder="1"/>
    <xf numFmtId="0" fontId="7" fillId="4" borderId="1" xfId="0" applyFont="1" applyFill="1" applyBorder="1"/>
    <xf numFmtId="0" fontId="7" fillId="3" borderId="1" xfId="0" applyFont="1" applyFill="1" applyBorder="1"/>
    <xf numFmtId="0" fontId="0" fillId="2" borderId="0" xfId="0" applyFill="1"/>
    <xf numFmtId="0" fontId="7" fillId="6" borderId="1" xfId="0" applyFont="1" applyFill="1" applyBorder="1"/>
    <xf numFmtId="0" fontId="0" fillId="7" borderId="0" xfId="0" applyFill="1"/>
    <xf numFmtId="0" fontId="7" fillId="7" borderId="1" xfId="0" applyFont="1" applyFill="1" applyBorder="1"/>
    <xf numFmtId="0" fontId="7" fillId="5" borderId="1" xfId="0" applyFont="1" applyFill="1" applyBorder="1"/>
    <xf numFmtId="0" fontId="5" fillId="0" borderId="1" xfId="0" applyFont="1" applyBorder="1" applyAlignment="1">
      <alignment horizontal="left"/>
    </xf>
    <xf numFmtId="0" fontId="11" fillId="5" borderId="0" xfId="0" applyFont="1" applyFill="1"/>
    <xf numFmtId="0" fontId="0" fillId="0" borderId="1" xfId="0" applyBorder="1"/>
    <xf numFmtId="0" fontId="8" fillId="4" borderId="1" xfId="1" applyFont="1" applyFill="1" applyBorder="1" applyAlignment="1">
      <alignment horizontal="left"/>
    </xf>
    <xf numFmtId="0" fontId="13" fillId="0" borderId="1" xfId="2" applyBorder="1"/>
    <xf numFmtId="0" fontId="13" fillId="0" borderId="0" xfId="2"/>
    <xf numFmtId="0" fontId="13" fillId="0" borderId="0" xfId="2" applyFill="1"/>
    <xf numFmtId="0" fontId="13" fillId="0" borderId="0" xfId="2" applyAlignment="1"/>
    <xf numFmtId="0" fontId="12" fillId="8" borderId="0" xfId="0" applyFont="1" applyFill="1"/>
    <xf numFmtId="0" fontId="7" fillId="8" borderId="1" xfId="0" applyFont="1" applyFill="1" applyBorder="1"/>
    <xf numFmtId="0" fontId="7" fillId="0" borderId="3" xfId="0" applyFont="1" applyBorder="1"/>
    <xf numFmtId="0" fontId="7" fillId="5" borderId="3" xfId="0" applyFont="1" applyFill="1" applyBorder="1"/>
    <xf numFmtId="0" fontId="13" fillId="0" borderId="0" xfId="2" applyFill="1" applyAlignment="1"/>
    <xf numFmtId="0" fontId="13" fillId="0" borderId="1" xfId="2" applyFill="1" applyBorder="1"/>
    <xf numFmtId="0" fontId="13" fillId="0" borderId="4" xfId="2" applyFill="1" applyBorder="1"/>
    <xf numFmtId="0" fontId="14" fillId="0" borderId="1" xfId="0" applyFont="1" applyBorder="1" applyAlignment="1">
      <alignment vertical="center"/>
    </xf>
    <xf numFmtId="0" fontId="7" fillId="0" borderId="5" xfId="0" applyFont="1" applyBorder="1"/>
    <xf numFmtId="0" fontId="8" fillId="4" borderId="6" xfId="1" applyFont="1" applyFill="1" applyBorder="1" applyAlignment="1">
      <alignment horizontal="left"/>
    </xf>
    <xf numFmtId="0" fontId="7" fillId="0" borderId="6" xfId="0" applyFont="1" applyBorder="1"/>
    <xf numFmtId="0" fontId="7" fillId="4" borderId="6" xfId="0" applyFont="1" applyFill="1" applyBorder="1"/>
    <xf numFmtId="0" fontId="7" fillId="5" borderId="6" xfId="0" applyFont="1" applyFill="1" applyBorder="1"/>
    <xf numFmtId="0" fontId="12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/>
    <xf numFmtId="0" fontId="7" fillId="4" borderId="0" xfId="0" applyFont="1" applyFill="1"/>
    <xf numFmtId="0" fontId="7" fillId="2" borderId="1" xfId="0" applyFont="1" applyFill="1" applyBorder="1"/>
  </cellXfs>
  <cellStyles count="3">
    <cellStyle name="Hyperlink" xfId="2" builtinId="8"/>
    <cellStyle name="Normal" xfId="0" builtinId="0"/>
    <cellStyle name="Normal_cty99" xfId="1" xr:uid="{08F02558-F0F7-474A-B414-9305DACEB306}"/>
  </cellStyles>
  <dxfs count="0"/>
  <tableStyles count="0" defaultTableStyle="TableStyleMedium2" defaultPivotStyle="PivotStyleLight16"/>
  <colors>
    <mruColors>
      <color rgb="FFCC99FF"/>
      <color rgb="FF700000"/>
      <color rgb="FFCB5535"/>
      <color rgb="FFCCFF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sb.no/en/virksomheter-foretak-og-regnskap/statistikker/naringer/endelige-tall" TargetMode="External"/><Relationship Id="rId21" Type="http://schemas.openxmlformats.org/officeDocument/2006/relationships/hyperlink" Target="http://kostat.go.kr/portal/eng/surveyOutline/3/8/index.static" TargetMode="External"/><Relationship Id="rId42" Type="http://schemas.openxmlformats.org/officeDocument/2006/relationships/hyperlink" Target="https://webarchive.nationalarchives.gov.uk/20160106042657/http:/www.ons.gov.uk/ons/rel/abs/annual-business-survey/index.html" TargetMode="External"/><Relationship Id="rId47" Type="http://schemas.openxmlformats.org/officeDocument/2006/relationships/hyperlink" Target="https://www.census.gov/newsroom/press-releases/2018/annual-business-survey.html" TargetMode="External"/><Relationship Id="rId63" Type="http://schemas.openxmlformats.org/officeDocument/2006/relationships/hyperlink" Target="https://ec.europa.eu/eurostat/cache/metadata/EN/sbs_esms_ch.htm" TargetMode="External"/><Relationship Id="rId68" Type="http://schemas.openxmlformats.org/officeDocument/2006/relationships/hyperlink" Target="http://www.stat.go.jp/english/data/kojinke/index.html" TargetMode="External"/><Relationship Id="rId84" Type="http://schemas.openxmlformats.org/officeDocument/2006/relationships/hyperlink" Target="https://microdata.worldbank.org/index.php/catalog/2058" TargetMode="External"/><Relationship Id="rId89" Type="http://schemas.openxmlformats.org/officeDocument/2006/relationships/hyperlink" Target="https://www.destatis.de/EN/Themes/Economic-Sectors-Enterprises/Enterprises/_node.html" TargetMode="External"/><Relationship Id="rId16" Type="http://schemas.openxmlformats.org/officeDocument/2006/relationships/hyperlink" Target="https://www.singstat.gov.sg/publications/industry/sss-the-services-sector" TargetMode="External"/><Relationship Id="rId11" Type="http://schemas.openxmlformats.org/officeDocument/2006/relationships/hyperlink" Target="https://www.dst.dk/en/Statistik/dokumentation/documentationofstatistics/industry-survey" TargetMode="External"/><Relationship Id="rId32" Type="http://schemas.openxmlformats.org/officeDocument/2006/relationships/hyperlink" Target="https://www.stat.ee/en/find-statistics/methodology-and-quality/esms-metadata/20007" TargetMode="External"/><Relationship Id="rId37" Type="http://schemas.openxmlformats.org/officeDocument/2006/relationships/hyperlink" Target="https://www.mof.gov.cy/mof/cystat/statistics.nsf/labour_33main_en/labour_33main_en?OpenForm&amp;sub=3&amp;sel=1" TargetMode="External"/><Relationship Id="rId53" Type="http://schemas.openxmlformats.org/officeDocument/2006/relationships/hyperlink" Target="https://ec.europa.eu/eurostat/cache/metadata/EN/sbs_esms_hu.htm" TargetMode="External"/><Relationship Id="rId58" Type="http://schemas.openxmlformats.org/officeDocument/2006/relationships/hyperlink" Target="https://ec.europa.eu/eurostat/cache/metadata/EN/sbs_esms_sk.htm" TargetMode="External"/><Relationship Id="rId74" Type="http://schemas.openxmlformats.org/officeDocument/2006/relationships/hyperlink" Target="https://nso.gov.mt/en/publicatons/Publications_by_Unit/Pages/B1-Structural-Business-Statistics.aspx" TargetMode="External"/><Relationship Id="rId79" Type="http://schemas.openxmlformats.org/officeDocument/2006/relationships/hyperlink" Target="https://ec.europa.eu/eurostat/cache/metadata/EN/sbs_esms_pt.htm" TargetMode="External"/><Relationship Id="rId5" Type="http://schemas.openxmlformats.org/officeDocument/2006/relationships/hyperlink" Target="http://archive.stats.govt.nz/infoshare/Default.aspx" TargetMode="External"/><Relationship Id="rId90" Type="http://schemas.openxmlformats.org/officeDocument/2006/relationships/hyperlink" Target="https://www.stat.go.jp/english/data/kojinke/gaiyou.html" TargetMode="External"/><Relationship Id="rId95" Type="http://schemas.openxmlformats.org/officeDocument/2006/relationships/vmlDrawing" Target="../drawings/vmlDrawing1.vml"/><Relationship Id="rId22" Type="http://schemas.openxmlformats.org/officeDocument/2006/relationships/hyperlink" Target="https://www.ine.pt/xportal/xmain?xpid=INE&amp;xpgid=ine_publicacoes&amp;PUBLICACOESpagenumber=2&amp;PUBLICACOESrevista=00&amp;PUBLICACOESfreeText=Enterprises%20in%20Portugal&amp;PUBLICACOEStema=55487" TargetMode="External"/><Relationship Id="rId27" Type="http://schemas.openxmlformats.org/officeDocument/2006/relationships/hyperlink" Target="https://www.ssb.no/en/statbank/list/naringer" TargetMode="External"/><Relationship Id="rId43" Type="http://schemas.openxmlformats.org/officeDocument/2006/relationships/hyperlink" Target="https://webarchive.nationalarchives.gov.uk/20160108033031/http:/www.ons.gov.uk/ons/rel/abs/annual-business-inquiry/index.html" TargetMode="External"/><Relationship Id="rId48" Type="http://schemas.openxmlformats.org/officeDocument/2006/relationships/hyperlink" Target="https://www.census.gov/programs-surveys/susb/about.html" TargetMode="External"/><Relationship Id="rId64" Type="http://schemas.openxmlformats.org/officeDocument/2006/relationships/hyperlink" Target="https://ec.europa.eu/eurostat/cache/metadata/EN/sbs_esms_ee.htm" TargetMode="External"/><Relationship Id="rId69" Type="http://schemas.openxmlformats.org/officeDocument/2006/relationships/hyperlink" Target="https://www.e-stat.go.jp/en/stat-search/files?page=1&amp;toukei=00200541&amp;bunya_l=07&amp;tstat=000000210001&amp;result_page=1" TargetMode="External"/><Relationship Id="rId8" Type="http://schemas.openxmlformats.org/officeDocument/2006/relationships/hyperlink" Target="https://statice.is/statistics/business-sectors/enterprises/structural-business-statistics/" TargetMode="External"/><Relationship Id="rId51" Type="http://schemas.openxmlformats.org/officeDocument/2006/relationships/hyperlink" Target="https://ec.europa.eu/eurostat/cache/metadata/EN/sbs_esms_el.htm" TargetMode="External"/><Relationship Id="rId72" Type="http://schemas.openxmlformats.org/officeDocument/2006/relationships/hyperlink" Target="https://statistiques.public.lu/stat/ReportFolders/ReportFolder.aspx?IF_Language=eng&amp;MainTheme=4&amp;FldrName=1&amp;RFPath=9796" TargetMode="External"/><Relationship Id="rId80" Type="http://schemas.openxmlformats.org/officeDocument/2006/relationships/hyperlink" Target="https://www.singstat.gov.sg/our-services-and-tools/public-sector-surveys" TargetMode="External"/><Relationship Id="rId85" Type="http://schemas.openxmlformats.org/officeDocument/2006/relationships/hyperlink" Target="https://www.cbs.gov.il/en/subjects/Pages/Business-Trends.aspx&amp;corid=7063563d-925a-a2cf-100a-ccd57db906b8" TargetMode="External"/><Relationship Id="rId93" Type="http://schemas.openxmlformats.org/officeDocument/2006/relationships/hyperlink" Target="https://www.scb.se/en/finding-statistics/statistics-by-subject-area/business-activities/structure-of-the-business-sector/structural-business-statistics/" TargetMode="External"/><Relationship Id="rId3" Type="http://schemas.openxmlformats.org/officeDocument/2006/relationships/hyperlink" Target="https://www.singstat.gov.sg/find-data/search-by-theme?type=publications" TargetMode="External"/><Relationship Id="rId12" Type="http://schemas.openxmlformats.org/officeDocument/2006/relationships/hyperlink" Target="https://www.statbank.dk/10327" TargetMode="External"/><Relationship Id="rId17" Type="http://schemas.openxmlformats.org/officeDocument/2006/relationships/hyperlink" Target="https://www.singstat.gov.sg/our-services-and-tools/public-sector-surveys/frequently-asked-questions-on-business-surveys" TargetMode="External"/><Relationship Id="rId25" Type="http://schemas.openxmlformats.org/officeDocument/2006/relationships/hyperlink" Target="https://www.scb.se/contentassets/621efb139dad482fb522fa835dd5df0b/structural-business-statistics.pdf" TargetMode="External"/><Relationship Id="rId33" Type="http://schemas.openxmlformats.org/officeDocument/2006/relationships/hyperlink" Target="https://www.stat.si/StatWeb/en/Field/Index/16/103" TargetMode="External"/><Relationship Id="rId38" Type="http://schemas.openxmlformats.org/officeDocument/2006/relationships/hyperlink" Target="https://ec.europa.eu/eurostat/cache/metadata/EN/sbs_esms_cy.htm" TargetMode="External"/><Relationship Id="rId46" Type="http://schemas.openxmlformats.org/officeDocument/2006/relationships/hyperlink" Target="https://www.census.gov/programs-surveys/abs.html" TargetMode="External"/><Relationship Id="rId59" Type="http://schemas.openxmlformats.org/officeDocument/2006/relationships/hyperlink" Target="http://datacube.statistics.sk/" TargetMode="External"/><Relationship Id="rId67" Type="http://schemas.openxmlformats.org/officeDocument/2006/relationships/hyperlink" Target="http://hagstofan.s3.amazonaws.com/media/public/2019/054697d7-3bdd-479c-9686-02dd66971569.pdf" TargetMode="External"/><Relationship Id="rId20" Type="http://schemas.openxmlformats.org/officeDocument/2006/relationships/hyperlink" Target="https://www.cbs.nl/en-gb/our-services/methods/surveys/korte-onderzoeksbeschrijvingen/business-survey-netherlands-region-month" TargetMode="External"/><Relationship Id="rId41" Type="http://schemas.openxmlformats.org/officeDocument/2006/relationships/hyperlink" Target="https://webarchive.nationalarchives.gov.uk/20160108033024/http:/www.ons.gov.uk/ons/guide-method/method-quality/specific/business-and-energy/annual-business-survey/history-and-background/index.html" TargetMode="External"/><Relationship Id="rId54" Type="http://schemas.openxmlformats.org/officeDocument/2006/relationships/hyperlink" Target="https://ec.europa.eu/eurostat/cache/metadata/EN/sbs_esms_lv.htm" TargetMode="External"/><Relationship Id="rId62" Type="http://schemas.openxmlformats.org/officeDocument/2006/relationships/hyperlink" Target="https://www.bfs.admin.ch/bfs/fr/home/statistiques/industrie-services/enquetes/statent.html" TargetMode="External"/><Relationship Id="rId70" Type="http://schemas.openxmlformats.org/officeDocument/2006/relationships/hyperlink" Target="http://www.stat.go.jp/english/data/kojinke/2018q/index.html" TargetMode="External"/><Relationship Id="rId75" Type="http://schemas.openxmlformats.org/officeDocument/2006/relationships/hyperlink" Target="https://nso.gov.mt/en/publicatons/Publications_by_Unit/Documents/B1_Structural_Business_Statistics/Structural_Business_Statistics.pdf" TargetMode="External"/><Relationship Id="rId83" Type="http://schemas.openxmlformats.org/officeDocument/2006/relationships/hyperlink" Target="https://deps.mofe.gov.bn/DEPD%20Documents%20Library/DOS/Annual%20Census%20Entprise_ACE/PR_ACE2021.pdf" TargetMode="External"/><Relationship Id="rId88" Type="http://schemas.openxmlformats.org/officeDocument/2006/relationships/hyperlink" Target="https://www23.statcan.gc.ca/imdb/p2SV.pl?Function=getSurvey&amp;SDDS=2152" TargetMode="External"/><Relationship Id="rId91" Type="http://schemas.openxmlformats.org/officeDocument/2006/relationships/hyperlink" Target="https://statistiques.public.lu/stat/ReportFolders/ReportFolder.aspx?IF_Language=eng&amp;MainTheme=4&amp;FldrName=1&amp;RFPath=9796" TargetMode="External"/><Relationship Id="rId96" Type="http://schemas.openxmlformats.org/officeDocument/2006/relationships/comments" Target="../comments1.xml"/><Relationship Id="rId1" Type="http://schemas.openxmlformats.org/officeDocument/2006/relationships/hyperlink" Target="https://www.data.gov.bh/en/ResourceCenter" TargetMode="External"/><Relationship Id="rId6" Type="http://schemas.openxmlformats.org/officeDocument/2006/relationships/hyperlink" Target="https://www.abs.gov.au/AUSSTATS/abs@.nsf/second+level+view?ReadForm&amp;prodno=5676.0&amp;viewtitle=Business%20Indicators,%20Australia~Jun%202020~Latest~31/08/2020&amp;&amp;tabname=Past%20Future%20Issues&amp;prodno=5676.0&amp;issue=Jun%202020&amp;num=&amp;view=" TargetMode="External"/><Relationship Id="rId15" Type="http://schemas.openxmlformats.org/officeDocument/2006/relationships/hyperlink" Target="https://www.insee.fr/en/metadonnees/source/serie/s1269" TargetMode="External"/><Relationship Id="rId23" Type="http://schemas.openxmlformats.org/officeDocument/2006/relationships/hyperlink" Target="http://www.statistikdatabasen.scb.se/pxweb/sv/ssd/" TargetMode="External"/><Relationship Id="rId28" Type="http://schemas.openxmlformats.org/officeDocument/2006/relationships/hyperlink" Target="https://www.cso.ie/en/releasesandpublications/er/sbs/structuralbusinessstatistics2018/" TargetMode="External"/><Relationship Id="rId36" Type="http://schemas.openxmlformats.org/officeDocument/2006/relationships/hyperlink" Target="https://www.stat.si/StatWeb/File/DocSysFile/8099" TargetMode="External"/><Relationship Id="rId49" Type="http://schemas.openxmlformats.org/officeDocument/2006/relationships/hyperlink" Target="https://ec.europa.eu/eurostat/cache/metadata/EN/sbs_esms_cz.htm" TargetMode="External"/><Relationship Id="rId57" Type="http://schemas.openxmlformats.org/officeDocument/2006/relationships/hyperlink" Target="https://www.ncsi.gov.om/Elibrary/Pages/LibraryContentDetails.aspx?ItemID=caKk2KP91AtyaaPuIOUHRw%3d%3d" TargetMode="External"/><Relationship Id="rId10" Type="http://schemas.openxmlformats.org/officeDocument/2006/relationships/hyperlink" Target="https://www.statbank.dk/10327" TargetMode="External"/><Relationship Id="rId31" Type="http://schemas.openxmlformats.org/officeDocument/2006/relationships/hyperlink" Target="https://www.stat.ee/en/find-statistics/methodology-and-quality/esms-metadata/21101" TargetMode="External"/><Relationship Id="rId44" Type="http://schemas.openxmlformats.org/officeDocument/2006/relationships/hyperlink" Target="https://www.ons.gov.uk/surveys/informationforbusinesses/businesssurveys/annualbusinesssurvey" TargetMode="External"/><Relationship Id="rId52" Type="http://schemas.openxmlformats.org/officeDocument/2006/relationships/hyperlink" Target="https://www.statistics.gr/en/statistics/ind" TargetMode="External"/><Relationship Id="rId60" Type="http://schemas.openxmlformats.org/officeDocument/2006/relationships/hyperlink" Target="http://www.statistik.at/web_en/statistics/Economy/enterprises/structural_business_statistics/index.html" TargetMode="External"/><Relationship Id="rId65" Type="http://schemas.openxmlformats.org/officeDocument/2006/relationships/hyperlink" Target="https://ec.europa.eu/eurostat/cache/metadata/EN/sbs_esms_fi.htm" TargetMode="External"/><Relationship Id="rId73" Type="http://schemas.openxmlformats.org/officeDocument/2006/relationships/hyperlink" Target="https://nso.gov.mt/metadata/reports.aspx?id=12" TargetMode="External"/><Relationship Id="rId78" Type="http://schemas.openxmlformats.org/officeDocument/2006/relationships/hyperlink" Target="https://ec.europa.eu/eurostat/cache/metadata/EN/sbs_esms_no.htm" TargetMode="External"/><Relationship Id="rId81" Type="http://schemas.openxmlformats.org/officeDocument/2006/relationships/hyperlink" Target="https://www.tablebuilder.singstat.gov.sg/publicfacing/createDataTable.action?refId=13033" TargetMode="External"/><Relationship Id="rId86" Type="http://schemas.openxmlformats.org/officeDocument/2006/relationships/hyperlink" Target="https://www.statistik.at/en/statistics/industry-construction-trade-and-services/structural-business-statistics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www.cbs.nl/en-gb/our-services/methods/surveys/korte-onderzoeksbeschrijvingen/business-survey-netherlands-quarterly" TargetMode="External"/><Relationship Id="rId9" Type="http://schemas.openxmlformats.org/officeDocument/2006/relationships/hyperlink" Target="https://statbel.fgov.be/fr/themes/entreprises/statistiques-structurelles-sur-les-entreprises" TargetMode="External"/><Relationship Id="rId13" Type="http://schemas.openxmlformats.org/officeDocument/2006/relationships/hyperlink" Target="https://ec.europa.eu/eurostat/cache/metadata/EN/sbs_esms_dk.htm" TargetMode="External"/><Relationship Id="rId18" Type="http://schemas.openxmlformats.org/officeDocument/2006/relationships/hyperlink" Target="https://www23.statcan.gc.ca/imdb/pIX.pl?Function=getThemeSV&amp;PItem_Id=97413&amp;PCE_Id=365&amp;PCE_Start=01010001&amp;CItem_Id=97413&amp;CCE_Id=365&amp;CCE_Start=01010001&amp;lang=en" TargetMode="External"/><Relationship Id="rId39" Type="http://schemas.openxmlformats.org/officeDocument/2006/relationships/hyperlink" Target="https://www.mof.gov.cy/mof/cystat/statistics.nsf/labour_33main_en/labour_33main_en?OpenForm&amp;sub=3&amp;sel=1" TargetMode="External"/><Relationship Id="rId34" Type="http://schemas.openxmlformats.org/officeDocument/2006/relationships/hyperlink" Target="https://www.stat.si/StatWeb/File/DocSysFile/8073" TargetMode="External"/><Relationship Id="rId50" Type="http://schemas.openxmlformats.org/officeDocument/2006/relationships/hyperlink" Target="https://www.czso.cz/csu/czso/annual-structural-business-statistics-methodology" TargetMode="External"/><Relationship Id="rId55" Type="http://schemas.openxmlformats.org/officeDocument/2006/relationships/hyperlink" Target="https://ec.europa.eu/eurostat/cache/metadata/EN/sbs_esms_lt.htm" TargetMode="External"/><Relationship Id="rId76" Type="http://schemas.openxmlformats.org/officeDocument/2006/relationships/hyperlink" Target="https://nso.gov.mt/en/nso/About_NSO/Documents/Annual_Reports/Annual_report_2018.pdf" TargetMode="External"/><Relationship Id="rId7" Type="http://schemas.openxmlformats.org/officeDocument/2006/relationships/hyperlink" Target="https://www.psa.gov.qa/en/statistics1/pages/topicslisting.aspx?parent=Economic&amp;child=BusinessServices" TargetMode="External"/><Relationship Id="rId71" Type="http://schemas.openxmlformats.org/officeDocument/2006/relationships/hyperlink" Target="https://www.csb.gov.kw/Pages/Statistics?ID=28&amp;ParentCatID=3" TargetMode="External"/><Relationship Id="rId92" Type="http://schemas.openxmlformats.org/officeDocument/2006/relationships/hyperlink" Target="https://statistiques.public.lu/en/surveys/espace-enterprises/business-survey/index.html" TargetMode="External"/><Relationship Id="rId2" Type="http://schemas.openxmlformats.org/officeDocument/2006/relationships/hyperlink" Target="https://www.stats.gov.sa/en/64" TargetMode="External"/><Relationship Id="rId29" Type="http://schemas.openxmlformats.org/officeDocument/2006/relationships/hyperlink" Target="https://www.cso.ie/en/databases/structuralbusinessstatistics/" TargetMode="External"/><Relationship Id="rId24" Type="http://schemas.openxmlformats.org/officeDocument/2006/relationships/hyperlink" Target="https://www.scb.se/en/data-collection/surveys/Structural-Business-Statistics/" TargetMode="External"/><Relationship Id="rId40" Type="http://schemas.openxmlformats.org/officeDocument/2006/relationships/hyperlink" Target="https://nso.gov.mt/en/nso/Sources_and_Methods/Unit_B1/Structural_Business_Statistics/Pages/Structural-Business-Statistics.aspx" TargetMode="External"/><Relationship Id="rId45" Type="http://schemas.openxmlformats.org/officeDocument/2006/relationships/hyperlink" Target="https://www.ons.gov.uk/aboutus/whatwedo/paidservices/interdepartmentalbusinessregisteridbr" TargetMode="External"/><Relationship Id="rId66" Type="http://schemas.openxmlformats.org/officeDocument/2006/relationships/hyperlink" Target="https://ec.europa.eu/eurostat/cache/metadata/EN/sbs_esms_ie.htm" TargetMode="External"/><Relationship Id="rId87" Type="http://schemas.openxmlformats.org/officeDocument/2006/relationships/hyperlink" Target="https://www23.statcan.gc.ca/imdb/p2SV.pl?Function=getInstanceList&amp;Id=1284954" TargetMode="External"/><Relationship Id="rId61" Type="http://schemas.openxmlformats.org/officeDocument/2006/relationships/hyperlink" Target="https://ec.europa.eu/eurostat/cache/metadata/EN/sbs_esms_be.htm" TargetMode="External"/><Relationship Id="rId82" Type="http://schemas.openxmlformats.org/officeDocument/2006/relationships/hyperlink" Target="https://ec.europa.eu/eurostat/cache/metadata/EN/sbs_esms_se.htm" TargetMode="External"/><Relationship Id="rId19" Type="http://schemas.openxmlformats.org/officeDocument/2006/relationships/hyperlink" Target="http://siqual.istat.it/SIQual/visualizza.do?id=8889015" TargetMode="External"/><Relationship Id="rId14" Type="http://schemas.openxmlformats.org/officeDocument/2006/relationships/hyperlink" Target="http://www.stat.fi/til/palhy/tau_en.html" TargetMode="External"/><Relationship Id="rId30" Type="http://schemas.openxmlformats.org/officeDocument/2006/relationships/hyperlink" Target="https://www.stat.ee/en/find-statistics/methodology-and-quality/esms-metadata" TargetMode="External"/><Relationship Id="rId35" Type="http://schemas.openxmlformats.org/officeDocument/2006/relationships/hyperlink" Target="https://www.stat.si/StatWeb/File/DocSysFile/8019" TargetMode="External"/><Relationship Id="rId56" Type="http://schemas.openxmlformats.org/officeDocument/2006/relationships/hyperlink" Target="https://osp.stat.gov.lt/imoniu-statistika" TargetMode="External"/><Relationship Id="rId77" Type="http://schemas.openxmlformats.org/officeDocument/2006/relationships/hyperlink" Target="https://opendata.cbs.nl/stat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EC4E-6C2C-4160-AE98-831950984D9C}">
  <dimension ref="A1:AB192"/>
  <sheetViews>
    <sheetView workbookViewId="0">
      <selection activeCell="A121" sqref="A121"/>
    </sheetView>
  </sheetViews>
  <sheetFormatPr defaultRowHeight="14.5" x14ac:dyDescent="0.35"/>
  <cols>
    <col min="2" max="2" width="13.81640625" customWidth="1"/>
  </cols>
  <sheetData>
    <row r="1" spans="1:28" x14ac:dyDescent="0.3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x14ac:dyDescent="0.35">
      <c r="A2" t="s">
        <v>26</v>
      </c>
      <c r="B2" t="s">
        <v>27</v>
      </c>
      <c r="C2" t="s">
        <v>28</v>
      </c>
    </row>
    <row r="3" spans="1:28" x14ac:dyDescent="0.35">
      <c r="A3" t="s">
        <v>29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5">
      <c r="A4" t="s">
        <v>31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</row>
    <row r="5" spans="1:28" x14ac:dyDescent="0.35">
      <c r="A5" t="s">
        <v>32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5">
      <c r="A6" t="s">
        <v>33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</row>
    <row r="7" spans="1:28" x14ac:dyDescent="0.35">
      <c r="A7" t="s">
        <v>34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5">
      <c r="A8" t="s">
        <v>35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5">
      <c r="A9" t="s">
        <v>36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5">
      <c r="A10" t="s">
        <v>37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5">
      <c r="A11" t="s">
        <v>38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5">
      <c r="A12" t="s">
        <v>39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5">
      <c r="A13" t="s">
        <v>40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</row>
    <row r="14" spans="1:28" x14ac:dyDescent="0.35">
      <c r="A14" t="s">
        <v>41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5">
      <c r="A15" t="s">
        <v>42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5">
      <c r="A16" t="s">
        <v>43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</row>
    <row r="17" spans="1:28" x14ac:dyDescent="0.35">
      <c r="A17" t="s">
        <v>44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</row>
    <row r="18" spans="1:28" x14ac:dyDescent="0.35">
      <c r="A18" t="s">
        <v>45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5">
      <c r="A19" t="s">
        <v>46</v>
      </c>
      <c r="B19" t="s">
        <v>30</v>
      </c>
      <c r="C19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</row>
    <row r="20" spans="1:28" x14ac:dyDescent="0.35">
      <c r="A20" t="s">
        <v>47</v>
      </c>
      <c r="B20" t="s">
        <v>30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</row>
    <row r="21" spans="1:28" x14ac:dyDescent="0.35">
      <c r="A21" t="s">
        <v>48</v>
      </c>
      <c r="B21" t="s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5">
      <c r="A22" t="s">
        <v>49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5">
      <c r="A23" t="s">
        <v>50</v>
      </c>
      <c r="B23" t="s">
        <v>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</row>
    <row r="24" spans="1:28" x14ac:dyDescent="0.35">
      <c r="A24" t="s">
        <v>51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5">
      <c r="A25" t="s">
        <v>52</v>
      </c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</row>
    <row r="26" spans="1:28" x14ac:dyDescent="0.35">
      <c r="A26" t="s">
        <v>53</v>
      </c>
      <c r="B26" t="s">
        <v>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5">
      <c r="A27" t="s">
        <v>54</v>
      </c>
      <c r="B27" t="s">
        <v>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5">
      <c r="A28" t="s">
        <v>55</v>
      </c>
      <c r="B28" t="s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0</v>
      </c>
    </row>
    <row r="29" spans="1:28" x14ac:dyDescent="0.35">
      <c r="A29" t="s">
        <v>56</v>
      </c>
      <c r="B29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35">
      <c r="A30" t="s">
        <v>57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</row>
    <row r="31" spans="1:28" x14ac:dyDescent="0.35">
      <c r="A31" t="s">
        <v>58</v>
      </c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35">
      <c r="A32" t="s">
        <v>59</v>
      </c>
      <c r="B32" t="s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35">
      <c r="A33" t="s">
        <v>60</v>
      </c>
      <c r="B33" t="s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35">
      <c r="A34" t="s">
        <v>61</v>
      </c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</row>
    <row r="35" spans="1:28" x14ac:dyDescent="0.35">
      <c r="A35" t="s">
        <v>62</v>
      </c>
      <c r="B35" t="s">
        <v>30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</row>
    <row r="36" spans="1:28" x14ac:dyDescent="0.35">
      <c r="A36" t="s">
        <v>63</v>
      </c>
      <c r="B36" t="s">
        <v>30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</row>
    <row r="37" spans="1:28" x14ac:dyDescent="0.35">
      <c r="A37" t="s">
        <v>64</v>
      </c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35">
      <c r="A38" t="s">
        <v>65</v>
      </c>
      <c r="B38" t="s">
        <v>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35">
      <c r="A39" t="s">
        <v>66</v>
      </c>
      <c r="B39" t="s">
        <v>30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35">
      <c r="A40" t="s">
        <v>67</v>
      </c>
      <c r="B40" t="s">
        <v>30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0</v>
      </c>
    </row>
    <row r="41" spans="1:28" x14ac:dyDescent="0.35">
      <c r="A41" t="s">
        <v>68</v>
      </c>
      <c r="B41" t="s">
        <v>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35">
      <c r="A42" t="s">
        <v>69</v>
      </c>
      <c r="B42" t="s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35">
      <c r="A43" t="s">
        <v>70</v>
      </c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5">
      <c r="A44" t="s">
        <v>71</v>
      </c>
      <c r="B44" t="s">
        <v>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5">
      <c r="A45" t="s">
        <v>72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35">
      <c r="A46" t="s">
        <v>73</v>
      </c>
      <c r="B46" t="s">
        <v>30</v>
      </c>
      <c r="C46">
        <v>0</v>
      </c>
      <c r="D46">
        <v>0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</row>
    <row r="47" spans="1:28" x14ac:dyDescent="0.35">
      <c r="A47" t="s">
        <v>74</v>
      </c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35">
      <c r="A48" t="s">
        <v>75</v>
      </c>
      <c r="B48" t="s">
        <v>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35">
      <c r="A49" t="s">
        <v>76</v>
      </c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35">
      <c r="A50" t="s">
        <v>77</v>
      </c>
      <c r="B50" t="s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</row>
    <row r="51" spans="1:28" x14ac:dyDescent="0.35">
      <c r="A51" t="s">
        <v>78</v>
      </c>
      <c r="B51" t="s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35">
      <c r="A52" t="s">
        <v>79</v>
      </c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35">
      <c r="A53" t="s">
        <v>80</v>
      </c>
      <c r="B53" t="s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35">
      <c r="A54" t="s">
        <v>81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35">
      <c r="A55" t="s">
        <v>82</v>
      </c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35">
      <c r="A56" t="s">
        <v>83</v>
      </c>
      <c r="B56" t="s">
        <v>30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35">
      <c r="A57" t="s">
        <v>84</v>
      </c>
      <c r="B57" t="s">
        <v>30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35">
      <c r="A58" t="s">
        <v>85</v>
      </c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35">
      <c r="A59" t="s">
        <v>86</v>
      </c>
      <c r="B59" t="s">
        <v>30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</row>
    <row r="60" spans="1:28" x14ac:dyDescent="0.35">
      <c r="A60" t="s">
        <v>87</v>
      </c>
      <c r="B60" t="s">
        <v>30</v>
      </c>
      <c r="C60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35">
      <c r="A61" t="s">
        <v>88</v>
      </c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35">
      <c r="A62" t="s">
        <v>89</v>
      </c>
      <c r="B62" t="s">
        <v>30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35">
      <c r="A63" t="s">
        <v>90</v>
      </c>
      <c r="B63" t="s">
        <v>30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35">
      <c r="A64" t="s">
        <v>91</v>
      </c>
      <c r="B64" t="s">
        <v>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35">
      <c r="A65" t="s">
        <v>92</v>
      </c>
      <c r="B65" t="s">
        <v>30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5">
      <c r="A66" t="s">
        <v>93</v>
      </c>
      <c r="B66" t="s">
        <v>30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35">
      <c r="A67" t="s">
        <v>94</v>
      </c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35">
      <c r="A68" t="s">
        <v>95</v>
      </c>
      <c r="B68" t="s">
        <v>30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</row>
    <row r="69" spans="1:28" x14ac:dyDescent="0.35">
      <c r="A69" t="s">
        <v>96</v>
      </c>
      <c r="B69" t="s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35">
      <c r="A70" t="s">
        <v>97</v>
      </c>
      <c r="B70" t="s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35">
      <c r="A71" t="s">
        <v>98</v>
      </c>
      <c r="B71" t="s">
        <v>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35">
      <c r="A72" t="s">
        <v>99</v>
      </c>
      <c r="B72" t="s">
        <v>30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35">
      <c r="A73" t="s">
        <v>100</v>
      </c>
      <c r="B73" t="s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35">
      <c r="A74" t="s">
        <v>101</v>
      </c>
      <c r="B74" t="s">
        <v>30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35">
      <c r="A75" t="s">
        <v>102</v>
      </c>
      <c r="B75" t="s">
        <v>30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</row>
    <row r="76" spans="1:28" x14ac:dyDescent="0.35">
      <c r="A76" t="s">
        <v>103</v>
      </c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5">
      <c r="A77" t="s">
        <v>104</v>
      </c>
      <c r="B77" t="s">
        <v>30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5">
      <c r="A78" t="s">
        <v>105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</row>
    <row r="79" spans="1:28" x14ac:dyDescent="0.35">
      <c r="A79" t="s">
        <v>106</v>
      </c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35">
      <c r="A80" t="s">
        <v>107</v>
      </c>
      <c r="B80" t="s">
        <v>30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35">
      <c r="A81" t="s">
        <v>108</v>
      </c>
      <c r="B81" t="s">
        <v>30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35">
      <c r="A82" t="s">
        <v>109</v>
      </c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35">
      <c r="A83" t="s">
        <v>110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35">
      <c r="A84" t="s">
        <v>111</v>
      </c>
      <c r="B84" t="s">
        <v>30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1</v>
      </c>
      <c r="AA84">
        <v>1</v>
      </c>
      <c r="AB84">
        <v>0</v>
      </c>
    </row>
    <row r="85" spans="1:28" x14ac:dyDescent="0.35">
      <c r="A85" t="s">
        <v>112</v>
      </c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35">
      <c r="A86" t="s">
        <v>113</v>
      </c>
      <c r="B86" t="s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</row>
    <row r="87" spans="1:28" x14ac:dyDescent="0.35">
      <c r="A87" t="s">
        <v>114</v>
      </c>
      <c r="B87" t="s">
        <v>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35">
      <c r="A88" t="s">
        <v>115</v>
      </c>
      <c r="B88" t="s">
        <v>30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35">
      <c r="A89" t="s">
        <v>116</v>
      </c>
      <c r="B89" t="s">
        <v>30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</row>
    <row r="90" spans="1:28" x14ac:dyDescent="0.35">
      <c r="A90" t="s">
        <v>117</v>
      </c>
      <c r="B90" t="s">
        <v>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35">
      <c r="A91" t="s">
        <v>118</v>
      </c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</row>
    <row r="92" spans="1:28" x14ac:dyDescent="0.35">
      <c r="A92" t="s">
        <v>119</v>
      </c>
      <c r="B92" t="s">
        <v>30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</row>
    <row r="93" spans="1:28" x14ac:dyDescent="0.35">
      <c r="A93" t="s">
        <v>120</v>
      </c>
      <c r="B93" t="s">
        <v>30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35">
      <c r="A94" t="s">
        <v>121</v>
      </c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35">
      <c r="A95" t="s">
        <v>122</v>
      </c>
      <c r="B95" t="s">
        <v>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35">
      <c r="A96" t="s">
        <v>123</v>
      </c>
      <c r="B96" t="s">
        <v>30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35">
      <c r="A97" t="s">
        <v>124</v>
      </c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</row>
    <row r="98" spans="1:28" x14ac:dyDescent="0.35">
      <c r="A98" t="s">
        <v>125</v>
      </c>
      <c r="B98" t="s">
        <v>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35">
      <c r="A99" t="s">
        <v>126</v>
      </c>
      <c r="B99" t="s">
        <v>30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35">
      <c r="A100" t="s">
        <v>127</v>
      </c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0</v>
      </c>
    </row>
    <row r="101" spans="1:28" x14ac:dyDescent="0.35">
      <c r="A101" t="s">
        <v>128</v>
      </c>
      <c r="B101" t="s">
        <v>30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0</v>
      </c>
      <c r="Z101">
        <v>0</v>
      </c>
      <c r="AA101">
        <v>0</v>
      </c>
      <c r="AB101">
        <v>0</v>
      </c>
    </row>
    <row r="102" spans="1:28" x14ac:dyDescent="0.35">
      <c r="A102" t="s">
        <v>129</v>
      </c>
      <c r="B102" t="s">
        <v>30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</row>
    <row r="103" spans="1:28" x14ac:dyDescent="0.35">
      <c r="A103" t="s">
        <v>130</v>
      </c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0</v>
      </c>
    </row>
    <row r="104" spans="1:28" x14ac:dyDescent="0.35">
      <c r="A104" t="s">
        <v>131</v>
      </c>
      <c r="B104" t="s">
        <v>30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0</v>
      </c>
      <c r="AB104">
        <v>0</v>
      </c>
    </row>
    <row r="105" spans="1:28" x14ac:dyDescent="0.35">
      <c r="A105" t="s">
        <v>132</v>
      </c>
      <c r="B105" t="s">
        <v>30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0</v>
      </c>
    </row>
    <row r="106" spans="1:28" x14ac:dyDescent="0.35">
      <c r="A106" t="s">
        <v>133</v>
      </c>
      <c r="B106" t="s">
        <v>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0</v>
      </c>
    </row>
    <row r="107" spans="1:28" x14ac:dyDescent="0.35">
      <c r="A107" t="s">
        <v>134</v>
      </c>
      <c r="B107" t="s">
        <v>30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35">
      <c r="A108" t="s">
        <v>135</v>
      </c>
      <c r="B108" t="s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0</v>
      </c>
    </row>
    <row r="109" spans="1:28" x14ac:dyDescent="0.35">
      <c r="A109" t="s">
        <v>136</v>
      </c>
      <c r="B109" t="s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35">
      <c r="A110" t="s">
        <v>137</v>
      </c>
      <c r="B110" t="s">
        <v>30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35">
      <c r="A111" t="s">
        <v>138</v>
      </c>
      <c r="B111" t="s">
        <v>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35">
      <c r="A112" t="s">
        <v>139</v>
      </c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1</v>
      </c>
      <c r="AB112">
        <v>0</v>
      </c>
    </row>
    <row r="113" spans="1:28" x14ac:dyDescent="0.35">
      <c r="A113" t="s">
        <v>140</v>
      </c>
      <c r="B113" t="s">
        <v>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35">
      <c r="A114" t="s">
        <v>141</v>
      </c>
      <c r="B114" t="s">
        <v>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35">
      <c r="A115" t="s">
        <v>142</v>
      </c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35">
      <c r="A116" t="s">
        <v>143</v>
      </c>
      <c r="B116" t="s">
        <v>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 x14ac:dyDescent="0.35">
      <c r="A117" t="s">
        <v>144</v>
      </c>
      <c r="B117" t="s">
        <v>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35">
      <c r="A118" t="s">
        <v>145</v>
      </c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 spans="1:28" x14ac:dyDescent="0.35">
      <c r="A119" t="s">
        <v>146</v>
      </c>
      <c r="B119" t="s">
        <v>30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</row>
    <row r="120" spans="1:28" x14ac:dyDescent="0.35">
      <c r="A120" t="s">
        <v>147</v>
      </c>
      <c r="B120" t="s">
        <v>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35">
      <c r="A121" t="s">
        <v>148</v>
      </c>
      <c r="B121" t="s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35">
      <c r="A122" t="s">
        <v>149</v>
      </c>
      <c r="B122" t="s">
        <v>30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35">
      <c r="A123" t="s">
        <v>150</v>
      </c>
      <c r="B123" t="s">
        <v>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35">
      <c r="A124" t="s">
        <v>151</v>
      </c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35">
      <c r="A125" t="s">
        <v>152</v>
      </c>
      <c r="B125" t="s">
        <v>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35">
      <c r="A126" t="s">
        <v>153</v>
      </c>
      <c r="B126" t="s">
        <v>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35">
      <c r="A127" t="s">
        <v>154</v>
      </c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35">
      <c r="A128" t="s">
        <v>155</v>
      </c>
      <c r="B128" t="s">
        <v>30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</row>
    <row r="129" spans="1:28" x14ac:dyDescent="0.35">
      <c r="A129" t="s">
        <v>156</v>
      </c>
      <c r="B129" t="s">
        <v>30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0</v>
      </c>
    </row>
    <row r="130" spans="1:28" x14ac:dyDescent="0.35">
      <c r="A130" t="s">
        <v>157</v>
      </c>
      <c r="B130" t="s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35">
      <c r="A131" t="s">
        <v>158</v>
      </c>
      <c r="B131" t="s">
        <v>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35">
      <c r="A132" t="s">
        <v>159</v>
      </c>
      <c r="B132" t="s">
        <v>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35">
      <c r="A133" t="s">
        <v>160</v>
      </c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35">
      <c r="A134" t="s">
        <v>161</v>
      </c>
      <c r="B134" t="s">
        <v>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</row>
    <row r="135" spans="1:28" x14ac:dyDescent="0.35">
      <c r="A135" t="s">
        <v>162</v>
      </c>
      <c r="B135" t="s">
        <v>30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35">
      <c r="A136" t="s">
        <v>163</v>
      </c>
      <c r="B136" t="s">
        <v>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35">
      <c r="A137" t="s">
        <v>164</v>
      </c>
      <c r="B137" t="s">
        <v>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35">
      <c r="A138" t="s">
        <v>165</v>
      </c>
      <c r="B138" t="s"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</row>
    <row r="139" spans="1:28" x14ac:dyDescent="0.35">
      <c r="A139" t="s">
        <v>166</v>
      </c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</row>
    <row r="140" spans="1:28" x14ac:dyDescent="0.35">
      <c r="A140" t="s">
        <v>167</v>
      </c>
      <c r="B140" t="s">
        <v>30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</row>
    <row r="141" spans="1:28" x14ac:dyDescent="0.35">
      <c r="A141" t="s">
        <v>168</v>
      </c>
      <c r="B141" t="s">
        <v>30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35">
      <c r="A142" t="s">
        <v>169</v>
      </c>
      <c r="B142" t="s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35">
      <c r="A143" t="s">
        <v>170</v>
      </c>
      <c r="B143" t="s">
        <v>30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</row>
    <row r="144" spans="1:28" x14ac:dyDescent="0.35">
      <c r="A144" t="s">
        <v>171</v>
      </c>
      <c r="B144" t="s">
        <v>30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35">
      <c r="A145" t="s">
        <v>172</v>
      </c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35">
      <c r="A146" t="s">
        <v>173</v>
      </c>
      <c r="B146" t="s">
        <v>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35">
      <c r="A147" t="s">
        <v>174</v>
      </c>
      <c r="B147" t="s">
        <v>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0</v>
      </c>
    </row>
    <row r="148" spans="1:28" x14ac:dyDescent="0.35">
      <c r="A148" t="s">
        <v>175</v>
      </c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35">
      <c r="A149" t="s">
        <v>176</v>
      </c>
      <c r="B149" t="s">
        <v>30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35">
      <c r="A150" t="s">
        <v>177</v>
      </c>
      <c r="B150" t="s">
        <v>30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0</v>
      </c>
      <c r="AA150">
        <v>0</v>
      </c>
      <c r="AB150">
        <v>0</v>
      </c>
    </row>
    <row r="151" spans="1:28" x14ac:dyDescent="0.35">
      <c r="A151" t="s">
        <v>178</v>
      </c>
      <c r="B151" t="s">
        <v>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0</v>
      </c>
    </row>
    <row r="152" spans="1:28" x14ac:dyDescent="0.35">
      <c r="A152" t="s">
        <v>179</v>
      </c>
      <c r="B152" t="s">
        <v>30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0</v>
      </c>
    </row>
    <row r="153" spans="1:28" x14ac:dyDescent="0.35">
      <c r="A153" t="s">
        <v>180</v>
      </c>
      <c r="B153" t="s">
        <v>30</v>
      </c>
      <c r="C153">
        <v>0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0</v>
      </c>
      <c r="AB153">
        <v>0</v>
      </c>
    </row>
    <row r="154" spans="1:28" x14ac:dyDescent="0.35">
      <c r="A154" t="s">
        <v>181</v>
      </c>
      <c r="B154" t="s">
        <v>30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</row>
    <row r="155" spans="1:28" x14ac:dyDescent="0.35">
      <c r="A155" t="s">
        <v>182</v>
      </c>
      <c r="B155" t="s">
        <v>30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35">
      <c r="A156" t="s">
        <v>183</v>
      </c>
      <c r="B156" t="s">
        <v>30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0</v>
      </c>
    </row>
    <row r="157" spans="1:28" x14ac:dyDescent="0.35">
      <c r="A157" t="s">
        <v>184</v>
      </c>
      <c r="B157" t="s">
        <v>30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</row>
    <row r="158" spans="1:28" x14ac:dyDescent="0.35">
      <c r="A158" t="s">
        <v>185</v>
      </c>
      <c r="B158" t="s">
        <v>30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35">
      <c r="A159" t="s">
        <v>186</v>
      </c>
      <c r="B159" t="s">
        <v>30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35">
      <c r="A160" t="s">
        <v>187</v>
      </c>
      <c r="B160" t="s">
        <v>30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0</v>
      </c>
    </row>
    <row r="161" spans="1:28" x14ac:dyDescent="0.35">
      <c r="A161" t="s">
        <v>188</v>
      </c>
      <c r="B161" t="s">
        <v>30</v>
      </c>
      <c r="C161">
        <v>0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0</v>
      </c>
    </row>
    <row r="162" spans="1:28" x14ac:dyDescent="0.35">
      <c r="A162" t="s">
        <v>189</v>
      </c>
      <c r="B162" t="s">
        <v>30</v>
      </c>
      <c r="C162">
        <v>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</row>
    <row r="163" spans="1:28" x14ac:dyDescent="0.35">
      <c r="A163" t="s">
        <v>190</v>
      </c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 spans="1:28" x14ac:dyDescent="0.35">
      <c r="A164" t="s">
        <v>191</v>
      </c>
      <c r="B164" t="s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35">
      <c r="A165" t="s">
        <v>192</v>
      </c>
      <c r="B165" t="s">
        <v>30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0</v>
      </c>
    </row>
    <row r="166" spans="1:28" x14ac:dyDescent="0.35">
      <c r="A166" t="s">
        <v>193</v>
      </c>
      <c r="B166" t="s">
        <v>30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0</v>
      </c>
    </row>
    <row r="167" spans="1:28" x14ac:dyDescent="0.35">
      <c r="A167" t="s">
        <v>194</v>
      </c>
      <c r="B167" t="s">
        <v>30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0</v>
      </c>
    </row>
    <row r="168" spans="1:28" x14ac:dyDescent="0.35">
      <c r="A168" t="s">
        <v>195</v>
      </c>
      <c r="B168" t="s">
        <v>30</v>
      </c>
      <c r="C168">
        <v>0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0</v>
      </c>
      <c r="AB168">
        <v>0</v>
      </c>
    </row>
    <row r="169" spans="1:28" x14ac:dyDescent="0.35">
      <c r="A169" t="s">
        <v>196</v>
      </c>
      <c r="B169" t="s">
        <v>30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</row>
    <row r="170" spans="1:28" x14ac:dyDescent="0.35">
      <c r="A170" t="s">
        <v>197</v>
      </c>
      <c r="B170" t="s">
        <v>30</v>
      </c>
      <c r="C170">
        <v>0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0</v>
      </c>
      <c r="AB170">
        <v>0</v>
      </c>
    </row>
    <row r="171" spans="1:28" x14ac:dyDescent="0.35">
      <c r="A171" t="s">
        <v>198</v>
      </c>
      <c r="B171" t="s">
        <v>30</v>
      </c>
      <c r="C171">
        <v>0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0</v>
      </c>
    </row>
    <row r="172" spans="1:28" x14ac:dyDescent="0.35">
      <c r="A172" t="s">
        <v>199</v>
      </c>
      <c r="B172" t="s">
        <v>30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</row>
    <row r="173" spans="1:28" x14ac:dyDescent="0.35">
      <c r="A173" t="s">
        <v>200</v>
      </c>
      <c r="B173" t="s">
        <v>30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</row>
    <row r="174" spans="1:28" x14ac:dyDescent="0.35">
      <c r="A174" t="s">
        <v>201</v>
      </c>
      <c r="B174" t="s">
        <v>30</v>
      </c>
      <c r="C174">
        <v>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0</v>
      </c>
    </row>
    <row r="175" spans="1:28" x14ac:dyDescent="0.35">
      <c r="A175" t="s">
        <v>202</v>
      </c>
      <c r="B175" t="s">
        <v>30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0</v>
      </c>
      <c r="AB175">
        <v>0</v>
      </c>
    </row>
    <row r="176" spans="1:28" x14ac:dyDescent="0.35">
      <c r="A176" t="s">
        <v>203</v>
      </c>
      <c r="B176" t="s">
        <v>30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0</v>
      </c>
    </row>
    <row r="177" spans="1:28" x14ac:dyDescent="0.35">
      <c r="A177" t="s">
        <v>204</v>
      </c>
      <c r="B177" t="s">
        <v>30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35">
      <c r="A178" t="s">
        <v>205</v>
      </c>
      <c r="B178" t="s">
        <v>30</v>
      </c>
      <c r="C178">
        <v>0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0</v>
      </c>
    </row>
    <row r="179" spans="1:28" x14ac:dyDescent="0.35">
      <c r="A179" t="s">
        <v>206</v>
      </c>
      <c r="B179" t="s">
        <v>30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0</v>
      </c>
    </row>
    <row r="180" spans="1:28" x14ac:dyDescent="0.35">
      <c r="A180" t="s">
        <v>207</v>
      </c>
      <c r="B180" t="s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0</v>
      </c>
    </row>
    <row r="181" spans="1:28" x14ac:dyDescent="0.35">
      <c r="A181" t="s">
        <v>208</v>
      </c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0</v>
      </c>
    </row>
    <row r="182" spans="1:28" x14ac:dyDescent="0.35">
      <c r="A182" t="s">
        <v>209</v>
      </c>
      <c r="B182" t="s">
        <v>30</v>
      </c>
      <c r="C182">
        <v>0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0</v>
      </c>
      <c r="AB182">
        <v>0</v>
      </c>
    </row>
    <row r="183" spans="1:28" x14ac:dyDescent="0.35">
      <c r="A183" t="s">
        <v>210</v>
      </c>
      <c r="B183" t="s">
        <v>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0</v>
      </c>
      <c r="AB183">
        <v>0</v>
      </c>
    </row>
    <row r="184" spans="1:28" x14ac:dyDescent="0.35">
      <c r="A184" t="s">
        <v>211</v>
      </c>
      <c r="B184" t="s">
        <v>30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</row>
    <row r="185" spans="1:28" x14ac:dyDescent="0.35">
      <c r="A185" t="s">
        <v>212</v>
      </c>
      <c r="B185" t="s">
        <v>30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0</v>
      </c>
      <c r="AB185">
        <v>0</v>
      </c>
    </row>
    <row r="186" spans="1:28" x14ac:dyDescent="0.35">
      <c r="A186" t="s">
        <v>213</v>
      </c>
      <c r="B186" t="s">
        <v>30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0</v>
      </c>
    </row>
    <row r="187" spans="1:28" x14ac:dyDescent="0.35">
      <c r="A187" t="s">
        <v>214</v>
      </c>
      <c r="B187" t="s">
        <v>30</v>
      </c>
      <c r="C187">
        <v>0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0</v>
      </c>
    </row>
    <row r="188" spans="1:28" x14ac:dyDescent="0.35">
      <c r="A188" t="s">
        <v>215</v>
      </c>
      <c r="B188" t="s">
        <v>30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0</v>
      </c>
    </row>
    <row r="189" spans="1:28" x14ac:dyDescent="0.35">
      <c r="A189" t="s">
        <v>216</v>
      </c>
      <c r="B189" t="s">
        <v>30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0</v>
      </c>
    </row>
    <row r="190" spans="1:28" x14ac:dyDescent="0.35">
      <c r="A190" t="s">
        <v>217</v>
      </c>
      <c r="B190" t="s">
        <v>30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0</v>
      </c>
      <c r="AB190">
        <v>0</v>
      </c>
    </row>
    <row r="191" spans="1:28" x14ac:dyDescent="0.35">
      <c r="A191" t="s">
        <v>218</v>
      </c>
      <c r="B191" t="s">
        <v>30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</row>
    <row r="192" spans="1:28" x14ac:dyDescent="0.35">
      <c r="A192" t="s">
        <v>219</v>
      </c>
      <c r="B192" t="s">
        <v>30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0</v>
      </c>
    </row>
  </sheetData>
  <phoneticPr fontId="15" type="noConversion"/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1658-F9FA-4D77-A12C-CF7E074E9F02}">
  <dimension ref="A1:CG193"/>
  <sheetViews>
    <sheetView tabSelected="1" topLeftCell="A3" zoomScale="86" zoomScaleNormal="86" workbookViewId="0">
      <pane xSplit="3" ySplit="1" topLeftCell="W96" activePane="bottomRight" state="frozen"/>
      <selection pane="topRight"/>
      <selection pane="bottomLeft" activeCell="A3" sqref="A3"/>
      <selection pane="bottomRight" activeCell="AD106" sqref="AD106"/>
    </sheetView>
  </sheetViews>
  <sheetFormatPr defaultColWidth="8.81640625" defaultRowHeight="14.5" x14ac:dyDescent="0.35"/>
  <cols>
    <col min="1" max="1" width="3.54296875" style="1" customWidth="1"/>
    <col min="2" max="2" width="8.54296875" style="2" bestFit="1" customWidth="1"/>
    <col min="3" max="3" width="12.81640625" style="2" customWidth="1"/>
    <col min="4" max="5" width="9.54296875" style="2" customWidth="1"/>
    <col min="33" max="33" width="156.26953125" bestFit="1" customWidth="1"/>
  </cols>
  <sheetData>
    <row r="1" spans="1:33" x14ac:dyDescent="0.35">
      <c r="D1" s="10" t="s">
        <v>220</v>
      </c>
      <c r="E1" s="11" t="s">
        <v>221</v>
      </c>
      <c r="F1" s="28" t="s">
        <v>222</v>
      </c>
      <c r="G1" s="48"/>
    </row>
    <row r="2" spans="1:33" x14ac:dyDescent="0.35">
      <c r="B2" s="1">
        <v>1</v>
      </c>
      <c r="C2" s="1">
        <f>+B2+1</f>
        <v>2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24</v>
      </c>
      <c r="AA2" s="1">
        <v>25</v>
      </c>
      <c r="AB2" s="1">
        <v>26</v>
      </c>
      <c r="AC2" s="1"/>
      <c r="AD2" s="1"/>
      <c r="AE2" s="1"/>
      <c r="AF2" s="1"/>
    </row>
    <row r="3" spans="1:33" x14ac:dyDescent="0.35">
      <c r="A3" s="3"/>
      <c r="B3" s="17" t="s">
        <v>26</v>
      </c>
      <c r="C3" s="17" t="s">
        <v>223</v>
      </c>
      <c r="D3" s="17">
        <v>1996</v>
      </c>
      <c r="E3" s="17">
        <v>1997</v>
      </c>
      <c r="F3" s="17">
        <v>1998</v>
      </c>
      <c r="G3" s="17">
        <v>1999</v>
      </c>
      <c r="H3" s="17">
        <v>2000</v>
      </c>
      <c r="I3" s="17">
        <v>2001</v>
      </c>
      <c r="J3" s="17">
        <v>2002</v>
      </c>
      <c r="K3" s="17">
        <v>2003</v>
      </c>
      <c r="L3" s="17">
        <v>2004</v>
      </c>
      <c r="M3" s="17">
        <v>2005</v>
      </c>
      <c r="N3" s="17">
        <v>2006</v>
      </c>
      <c r="O3" s="17">
        <v>2007</v>
      </c>
      <c r="P3" s="17">
        <v>2008</v>
      </c>
      <c r="Q3" s="17">
        <v>2009</v>
      </c>
      <c r="R3" s="17">
        <v>2010</v>
      </c>
      <c r="S3" s="17">
        <v>2011</v>
      </c>
      <c r="T3" s="17">
        <v>2012</v>
      </c>
      <c r="U3" s="17">
        <v>2013</v>
      </c>
      <c r="V3" s="17">
        <v>2014</v>
      </c>
      <c r="W3" s="17">
        <v>2015</v>
      </c>
      <c r="X3" s="17">
        <v>2016</v>
      </c>
      <c r="Y3" s="17">
        <v>2017</v>
      </c>
      <c r="Z3" s="17">
        <v>2018</v>
      </c>
      <c r="AA3" s="17">
        <v>2019</v>
      </c>
      <c r="AB3" s="17">
        <v>2020</v>
      </c>
      <c r="AC3" s="49">
        <v>2021</v>
      </c>
      <c r="AD3" s="49">
        <v>2022</v>
      </c>
      <c r="AE3" s="49">
        <v>2023</v>
      </c>
      <c r="AF3" s="49">
        <v>2024</v>
      </c>
      <c r="AG3" t="s">
        <v>224</v>
      </c>
    </row>
    <row r="4" spans="1:33" x14ac:dyDescent="0.35">
      <c r="A4" s="4">
        <v>1</v>
      </c>
      <c r="B4" s="5" t="s">
        <v>29</v>
      </c>
      <c r="C4" s="6" t="s">
        <v>225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26">
        <v>0</v>
      </c>
      <c r="Q4" s="11">
        <v>1</v>
      </c>
      <c r="R4" s="37">
        <v>0</v>
      </c>
      <c r="S4" s="37">
        <v>0</v>
      </c>
      <c r="T4" s="37">
        <v>0</v>
      </c>
      <c r="U4" s="38">
        <v>0</v>
      </c>
      <c r="V4" s="37">
        <v>0</v>
      </c>
      <c r="W4" s="11">
        <v>1</v>
      </c>
      <c r="X4" s="37">
        <v>0</v>
      </c>
      <c r="Y4" s="37">
        <v>0</v>
      </c>
      <c r="Z4" s="37">
        <v>0</v>
      </c>
      <c r="AA4" s="43">
        <v>0</v>
      </c>
      <c r="AB4" s="18">
        <v>0</v>
      </c>
      <c r="AC4" s="50"/>
      <c r="AD4" s="50"/>
      <c r="AE4" s="50"/>
      <c r="AF4" s="50"/>
      <c r="AG4" t="str">
        <f>+IF($D4=1,RIGHT(D$3,4)&amp;", ","")&amp;IF($E4=1,RIGHT(E$3,4)&amp;", ","")&amp;IF($F4=1,RIGHT(F$3,4)&amp;",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 RIGHT(Z$3,4)&amp;", ", "")&amp;IF($AA4=1, RIGHT(AA$3,4)&amp;", ", "")&amp;IF($AB4=1, RIGHT(AB$3,4)&amp;", ", "")&amp;IF($AC4=1, RIGHT(AC$3,4)&amp;", ", "")&amp;IF($AD4=1, RIGHT(AD$3,4)&amp;", ", "")&amp;IF($AE4=1, RIGHT(AE$3,4)&amp;", ", "")&amp;IF($AF4=1, RIGHT(AF$3,4)&amp;", ", "")</f>
        <v xml:space="preserve">2009, 2015, </v>
      </c>
    </row>
    <row r="5" spans="1:33" x14ac:dyDescent="0.35">
      <c r="A5" s="4">
        <v>2</v>
      </c>
      <c r="B5" s="5" t="s">
        <v>31</v>
      </c>
      <c r="C5" s="6" t="s">
        <v>226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26">
        <v>0</v>
      </c>
      <c r="K5" s="18">
        <v>0</v>
      </c>
      <c r="L5" s="18">
        <v>0</v>
      </c>
      <c r="M5" s="26">
        <v>0</v>
      </c>
      <c r="N5" s="18">
        <v>0</v>
      </c>
      <c r="O5" s="26">
        <v>0</v>
      </c>
      <c r="P5" s="19">
        <v>0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30">
        <v>1</v>
      </c>
      <c r="AA5" s="44">
        <v>1</v>
      </c>
      <c r="AB5" s="18">
        <v>0</v>
      </c>
      <c r="AC5" s="50"/>
      <c r="AD5" s="50"/>
      <c r="AE5" s="50"/>
      <c r="AF5" s="50"/>
      <c r="AG5" t="str">
        <f t="shared" ref="AG5:AG68" si="0">+IF($D5=1,RIGHT(D$3,4)&amp;", ","")&amp;IF($E5=1,RIGHT(E$3,4)&amp;", ","")&amp;IF($F5=1,RIGHT(F$3,4)&amp;",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 RIGHT(Z$3,4)&amp;", ", "")&amp;IF($AA5=1, RIGHT(AA$3,4)&amp;", ", "")&amp;IF($AB5=1, RIGHT(AB$3,4)&amp;", ", "")&amp;IF($AC5=1, RIGHT(AC$3,4)&amp;", ", "")&amp;IF($AD5=1, RIGHT(AD$3,4)&amp;", ", "")&amp;IF($AE5=1, RIGHT(AE$3,4)&amp;", ", "")&amp;IF($AF5=1, RIGHT(AF$3,4)&amp;", ", "")</f>
        <v xml:space="preserve">2009, 2010, 2011, 2012, 2013, 2014, 2015, 2016, 2017, 2018, 2019, </v>
      </c>
    </row>
    <row r="6" spans="1:33" x14ac:dyDescent="0.35">
      <c r="A6" s="4">
        <v>3</v>
      </c>
      <c r="B6" s="5" t="s">
        <v>32</v>
      </c>
      <c r="C6" s="6" t="s">
        <v>227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45">
        <v>0</v>
      </c>
      <c r="AB6" s="18">
        <v>0</v>
      </c>
      <c r="AC6" s="50"/>
      <c r="AD6" s="50"/>
      <c r="AE6" s="50"/>
      <c r="AF6" s="50"/>
      <c r="AG6" t="str">
        <f t="shared" si="0"/>
        <v/>
      </c>
    </row>
    <row r="7" spans="1:33" x14ac:dyDescent="0.35">
      <c r="A7" s="4">
        <v>4</v>
      </c>
      <c r="B7" s="7" t="s">
        <v>33</v>
      </c>
      <c r="C7" s="8" t="s">
        <v>228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26">
        <v>1</v>
      </c>
      <c r="O7" s="11">
        <v>1</v>
      </c>
      <c r="P7" s="11">
        <v>1</v>
      </c>
      <c r="Q7" s="11">
        <v>1</v>
      </c>
      <c r="R7" s="11">
        <v>1</v>
      </c>
      <c r="S7" s="11">
        <v>1</v>
      </c>
      <c r="T7" s="11">
        <v>1</v>
      </c>
      <c r="U7" s="11">
        <v>1</v>
      </c>
      <c r="V7" s="11">
        <v>1</v>
      </c>
      <c r="W7" s="11">
        <v>1</v>
      </c>
      <c r="X7" s="11">
        <v>1</v>
      </c>
      <c r="Y7" s="11">
        <v>1</v>
      </c>
      <c r="Z7" s="11">
        <v>1</v>
      </c>
      <c r="AA7" s="45">
        <v>0</v>
      </c>
      <c r="AB7" s="18">
        <v>0</v>
      </c>
      <c r="AC7" s="50"/>
      <c r="AD7" s="50"/>
      <c r="AE7" s="50"/>
      <c r="AF7" s="50"/>
      <c r="AG7" t="str">
        <f t="shared" si="0"/>
        <v xml:space="preserve">2006, 2007, 2008, 2009, 2010, 2011, 2012, 2013, 2014, 2015, 2016, 2017, 2018, </v>
      </c>
    </row>
    <row r="8" spans="1:33" x14ac:dyDescent="0.35">
      <c r="A8" s="4">
        <v>5</v>
      </c>
      <c r="B8" s="7" t="s">
        <v>34</v>
      </c>
      <c r="C8" s="8" t="s">
        <v>229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26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45">
        <v>0</v>
      </c>
      <c r="AB8" s="18">
        <v>0</v>
      </c>
      <c r="AC8" s="50"/>
      <c r="AD8" s="50"/>
      <c r="AE8" s="50"/>
      <c r="AF8" s="50"/>
      <c r="AG8" t="str">
        <f t="shared" si="0"/>
        <v/>
      </c>
    </row>
    <row r="9" spans="1:33" x14ac:dyDescent="0.35">
      <c r="A9" s="4">
        <v>6</v>
      </c>
      <c r="B9" s="5" t="s">
        <v>35</v>
      </c>
      <c r="C9" s="6" t="s">
        <v>230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26">
        <v>0</v>
      </c>
      <c r="O9" s="18">
        <v>0</v>
      </c>
      <c r="P9" s="18">
        <v>0</v>
      </c>
      <c r="Q9" s="18">
        <v>0</v>
      </c>
      <c r="R9" s="21">
        <v>1</v>
      </c>
      <c r="S9" s="26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26">
        <v>0</v>
      </c>
      <c r="Z9" s="18">
        <v>0</v>
      </c>
      <c r="AA9" s="45">
        <v>0</v>
      </c>
      <c r="AB9" s="18">
        <v>0</v>
      </c>
      <c r="AC9" s="50"/>
      <c r="AD9" s="50"/>
      <c r="AE9" s="50"/>
      <c r="AF9" s="50"/>
      <c r="AG9" t="str">
        <f t="shared" si="0"/>
        <v xml:space="preserve">2010, </v>
      </c>
    </row>
    <row r="10" spans="1:33" x14ac:dyDescent="0.35">
      <c r="A10" s="4">
        <v>7</v>
      </c>
      <c r="B10" s="5" t="s">
        <v>36</v>
      </c>
      <c r="C10" s="6" t="s">
        <v>231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26">
        <v>0</v>
      </c>
      <c r="K10" s="18">
        <v>0</v>
      </c>
      <c r="L10" s="18">
        <v>0</v>
      </c>
      <c r="M10" s="26">
        <v>0</v>
      </c>
      <c r="N10" s="18">
        <v>0</v>
      </c>
      <c r="O10" s="18">
        <v>0</v>
      </c>
      <c r="P10" s="18">
        <v>0</v>
      </c>
      <c r="Q10" s="26">
        <v>0</v>
      </c>
      <c r="R10" s="18">
        <v>0</v>
      </c>
      <c r="S10" s="18">
        <v>0</v>
      </c>
      <c r="T10" s="18">
        <v>0</v>
      </c>
      <c r="U10" s="26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45">
        <v>0</v>
      </c>
      <c r="AB10" s="18">
        <v>0</v>
      </c>
      <c r="AC10" s="50"/>
      <c r="AD10" s="50"/>
      <c r="AE10" s="50"/>
      <c r="AF10" s="50"/>
      <c r="AG10" t="str">
        <f t="shared" si="0"/>
        <v/>
      </c>
    </row>
    <row r="11" spans="1:33" x14ac:dyDescent="0.35">
      <c r="A11" s="4">
        <v>8</v>
      </c>
      <c r="B11" s="5" t="s">
        <v>37</v>
      </c>
      <c r="C11" s="6" t="s">
        <v>232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26">
        <v>0</v>
      </c>
      <c r="K11" s="18">
        <v>0</v>
      </c>
      <c r="L11" s="18">
        <v>0</v>
      </c>
      <c r="M11" s="26">
        <v>0</v>
      </c>
      <c r="N11" s="18">
        <v>0</v>
      </c>
      <c r="O11" s="18">
        <v>0</v>
      </c>
      <c r="P11" s="18">
        <v>0</v>
      </c>
      <c r="Q11" s="26">
        <v>0</v>
      </c>
      <c r="R11" s="18">
        <v>0</v>
      </c>
      <c r="S11" s="18">
        <v>0</v>
      </c>
      <c r="T11" s="18">
        <v>0</v>
      </c>
      <c r="U11" s="26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45">
        <v>0</v>
      </c>
      <c r="AB11" s="18">
        <v>0</v>
      </c>
      <c r="AC11" s="50"/>
      <c r="AD11" s="50"/>
      <c r="AE11" s="50"/>
      <c r="AF11" s="50"/>
      <c r="AG11" t="str">
        <f t="shared" si="0"/>
        <v/>
      </c>
    </row>
    <row r="12" spans="1:33" x14ac:dyDescent="0.35">
      <c r="A12" s="4">
        <v>9</v>
      </c>
      <c r="B12" s="5" t="s">
        <v>38</v>
      </c>
      <c r="C12" s="6" t="s">
        <v>233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26">
        <v>0</v>
      </c>
      <c r="P12" s="18">
        <v>0</v>
      </c>
      <c r="Q12" s="18">
        <v>0</v>
      </c>
      <c r="R12" s="21">
        <v>1</v>
      </c>
      <c r="S12" s="18">
        <v>0</v>
      </c>
      <c r="T12" s="18">
        <v>0</v>
      </c>
      <c r="U12" s="26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45">
        <v>0</v>
      </c>
      <c r="AB12" s="18">
        <v>0</v>
      </c>
      <c r="AC12" s="50"/>
      <c r="AD12" s="50"/>
      <c r="AE12" s="50"/>
      <c r="AF12" s="50"/>
      <c r="AG12" t="str">
        <f t="shared" si="0"/>
        <v xml:space="preserve">2010, </v>
      </c>
    </row>
    <row r="13" spans="1:33" x14ac:dyDescent="0.35">
      <c r="A13" s="4">
        <v>10</v>
      </c>
      <c r="B13" s="7" t="s">
        <v>39</v>
      </c>
      <c r="C13" s="8" t="s">
        <v>234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26">
        <v>0</v>
      </c>
      <c r="K13" s="18">
        <v>0</v>
      </c>
      <c r="L13" s="18">
        <v>0</v>
      </c>
      <c r="M13" s="26">
        <v>0</v>
      </c>
      <c r="N13" s="18">
        <v>0</v>
      </c>
      <c r="O13" s="18">
        <v>0</v>
      </c>
      <c r="P13" s="26">
        <v>0</v>
      </c>
      <c r="Q13" s="18">
        <v>0</v>
      </c>
      <c r="R13" s="18">
        <v>0</v>
      </c>
      <c r="S13" s="18">
        <v>0</v>
      </c>
      <c r="T13" s="18">
        <v>0</v>
      </c>
      <c r="U13" s="26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45">
        <v>0</v>
      </c>
      <c r="AB13" s="18">
        <v>0</v>
      </c>
      <c r="AC13" s="50"/>
      <c r="AD13" s="50"/>
      <c r="AE13" s="50"/>
      <c r="AF13" s="50"/>
      <c r="AG13" t="str">
        <f t="shared" si="0"/>
        <v/>
      </c>
    </row>
    <row r="14" spans="1:33" x14ac:dyDescent="0.35">
      <c r="A14" s="4">
        <v>11</v>
      </c>
      <c r="B14" s="5" t="s">
        <v>40</v>
      </c>
      <c r="C14" s="6" t="s">
        <v>235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26">
        <v>0</v>
      </c>
      <c r="T14" s="18">
        <v>0</v>
      </c>
      <c r="U14" s="18">
        <v>0</v>
      </c>
      <c r="V14" s="18">
        <v>0</v>
      </c>
      <c r="W14" s="18">
        <v>0</v>
      </c>
      <c r="X14" s="35">
        <v>1</v>
      </c>
      <c r="Y14" s="18">
        <v>0</v>
      </c>
      <c r="Z14" s="18">
        <v>0</v>
      </c>
      <c r="AA14" s="45">
        <v>0</v>
      </c>
      <c r="AB14" s="18">
        <v>0</v>
      </c>
      <c r="AC14" s="50"/>
      <c r="AD14" s="50"/>
      <c r="AE14" s="50"/>
      <c r="AF14" s="50"/>
      <c r="AG14" t="str">
        <f t="shared" si="0"/>
        <v xml:space="preserve">2016, </v>
      </c>
    </row>
    <row r="15" spans="1:33" x14ac:dyDescent="0.35">
      <c r="A15" s="4">
        <v>12</v>
      </c>
      <c r="B15" s="5" t="s">
        <v>41</v>
      </c>
      <c r="C15" s="6" t="s">
        <v>236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26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26">
        <v>0</v>
      </c>
      <c r="Y15" s="18">
        <v>0</v>
      </c>
      <c r="Z15" s="18">
        <v>0</v>
      </c>
      <c r="AA15" s="45">
        <v>0</v>
      </c>
      <c r="AB15" s="18">
        <v>0</v>
      </c>
      <c r="AC15" s="50"/>
      <c r="AD15" s="50"/>
      <c r="AE15" s="50"/>
      <c r="AF15" s="50"/>
      <c r="AG15" t="str">
        <f t="shared" si="0"/>
        <v/>
      </c>
    </row>
    <row r="16" spans="1:33" x14ac:dyDescent="0.35">
      <c r="A16" s="4">
        <v>13</v>
      </c>
      <c r="B16" s="5" t="s">
        <v>42</v>
      </c>
      <c r="C16" s="6" t="s">
        <v>237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26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45">
        <v>0</v>
      </c>
      <c r="AB16" s="18">
        <v>0</v>
      </c>
      <c r="AC16" s="50"/>
      <c r="AD16" s="50"/>
      <c r="AE16" s="50"/>
      <c r="AF16" s="50"/>
      <c r="AG16" t="str">
        <f t="shared" si="0"/>
        <v/>
      </c>
    </row>
    <row r="17" spans="1:85" x14ac:dyDescent="0.35">
      <c r="A17" s="4">
        <v>14</v>
      </c>
      <c r="B17" s="5" t="s">
        <v>43</v>
      </c>
      <c r="C17" s="6" t="s">
        <v>238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26">
        <v>0</v>
      </c>
      <c r="K17" s="18">
        <v>0</v>
      </c>
      <c r="L17" s="36">
        <v>1</v>
      </c>
      <c r="M17" s="18">
        <v>0</v>
      </c>
      <c r="N17" s="26">
        <v>0</v>
      </c>
      <c r="O17" s="18">
        <v>0</v>
      </c>
      <c r="P17" s="18">
        <v>0</v>
      </c>
      <c r="Q17" s="18">
        <v>0</v>
      </c>
      <c r="R17" s="26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26">
        <v>0</v>
      </c>
      <c r="Z17" s="20">
        <v>1</v>
      </c>
      <c r="AA17" s="45">
        <v>0</v>
      </c>
      <c r="AB17" s="18">
        <v>0</v>
      </c>
      <c r="AC17" s="50"/>
      <c r="AD17" s="50"/>
      <c r="AE17" s="50"/>
      <c r="AF17" s="50"/>
      <c r="AG17" t="str">
        <f t="shared" si="0"/>
        <v xml:space="preserve">2004, 2018, </v>
      </c>
    </row>
    <row r="18" spans="1:85" x14ac:dyDescent="0.35">
      <c r="A18" s="4">
        <v>15</v>
      </c>
      <c r="B18" s="5" t="s">
        <v>44</v>
      </c>
      <c r="C18" s="6" t="s">
        <v>239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26">
        <v>0</v>
      </c>
      <c r="K18" s="18">
        <v>0</v>
      </c>
      <c r="L18" s="18">
        <v>0</v>
      </c>
      <c r="M18" s="26">
        <v>0</v>
      </c>
      <c r="N18" s="18">
        <v>0</v>
      </c>
      <c r="O18" s="18">
        <v>0</v>
      </c>
      <c r="P18" s="18">
        <v>0</v>
      </c>
      <c r="Q18" s="26">
        <v>0</v>
      </c>
      <c r="R18" s="11">
        <v>1</v>
      </c>
      <c r="S18" s="11">
        <v>1</v>
      </c>
      <c r="T18" s="11">
        <v>1</v>
      </c>
      <c r="U18" s="11">
        <v>1</v>
      </c>
      <c r="V18" s="11">
        <v>1</v>
      </c>
      <c r="W18" s="11">
        <v>1</v>
      </c>
      <c r="X18" s="11">
        <v>1</v>
      </c>
      <c r="Y18" s="11">
        <v>1</v>
      </c>
      <c r="Z18" s="11">
        <v>1</v>
      </c>
      <c r="AA18" s="11">
        <v>1</v>
      </c>
      <c r="AB18" s="18">
        <v>0</v>
      </c>
      <c r="AC18" s="50"/>
      <c r="AD18" s="50"/>
      <c r="AE18" s="50"/>
      <c r="AF18" s="50"/>
      <c r="AG18" t="str">
        <f t="shared" si="0"/>
        <v xml:space="preserve">2010, 2011, 2012, 2013, 2014, 2015, 2016, 2017, 2018, 2019, </v>
      </c>
    </row>
    <row r="19" spans="1:85" x14ac:dyDescent="0.35">
      <c r="A19" s="4">
        <v>16</v>
      </c>
      <c r="B19" s="7" t="s">
        <v>45</v>
      </c>
      <c r="C19" s="8" t="s">
        <v>240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21">
        <v>1</v>
      </c>
      <c r="O19" s="18">
        <v>0</v>
      </c>
      <c r="P19" s="18">
        <v>0</v>
      </c>
      <c r="Q19" s="18">
        <v>0</v>
      </c>
      <c r="R19" s="21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45">
        <v>0</v>
      </c>
      <c r="AB19" s="18">
        <v>0</v>
      </c>
      <c r="AC19" s="50"/>
      <c r="AD19" s="50"/>
      <c r="AE19" s="50"/>
      <c r="AF19" s="50"/>
      <c r="AG19" t="str">
        <f t="shared" si="0"/>
        <v xml:space="preserve">2006, 2010, </v>
      </c>
    </row>
    <row r="20" spans="1:85" x14ac:dyDescent="0.35">
      <c r="A20" s="4">
        <v>17</v>
      </c>
      <c r="B20" s="5" t="s">
        <v>46</v>
      </c>
      <c r="C20" s="6" t="s">
        <v>241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0">
        <v>1</v>
      </c>
      <c r="M20" s="20">
        <v>1</v>
      </c>
      <c r="N20" s="20">
        <v>1</v>
      </c>
      <c r="O20" s="20">
        <v>1</v>
      </c>
      <c r="P20" s="20">
        <v>1</v>
      </c>
      <c r="Q20" s="20">
        <v>1</v>
      </c>
      <c r="R20" s="20">
        <v>1</v>
      </c>
      <c r="S20" s="20">
        <v>1</v>
      </c>
      <c r="T20" s="20">
        <v>1</v>
      </c>
      <c r="U20" s="20">
        <v>1</v>
      </c>
      <c r="V20" s="20">
        <v>1</v>
      </c>
      <c r="W20" s="20">
        <v>1</v>
      </c>
      <c r="X20" s="20">
        <v>1</v>
      </c>
      <c r="Y20" s="20">
        <v>1</v>
      </c>
      <c r="Z20" s="20">
        <v>1</v>
      </c>
      <c r="AA20" s="45">
        <v>0</v>
      </c>
      <c r="AB20" s="18">
        <v>0</v>
      </c>
      <c r="AC20" s="50"/>
      <c r="AD20" s="50"/>
      <c r="AE20" s="50"/>
      <c r="AF20" s="50"/>
      <c r="AG20" t="str">
        <f t="shared" si="0"/>
        <v xml:space="preserve">1996, 1997, 1998, 1999, 2000, 2001, 2002, 2003, 2004, 2005, 2006, 2007, 2008, 2009, 2010, 2011, 2012, 2013, 2014, 2015, 2016, 2017, 2018, </v>
      </c>
    </row>
    <row r="21" spans="1:85" s="22" customFormat="1" x14ac:dyDescent="0.35">
      <c r="A21" s="4">
        <v>18</v>
      </c>
      <c r="B21" s="5" t="s">
        <v>47</v>
      </c>
      <c r="C21" s="6" t="s">
        <v>242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0">
        <v>1</v>
      </c>
      <c r="Q21" s="20">
        <v>1</v>
      </c>
      <c r="R21" s="20">
        <v>1</v>
      </c>
      <c r="S21" s="20">
        <v>1</v>
      </c>
      <c r="T21" s="20">
        <v>1</v>
      </c>
      <c r="U21" s="20">
        <v>1</v>
      </c>
      <c r="V21" s="20">
        <v>1</v>
      </c>
      <c r="W21" s="20">
        <v>1</v>
      </c>
      <c r="X21" s="20">
        <v>1</v>
      </c>
      <c r="Y21" s="20">
        <v>1</v>
      </c>
      <c r="Z21" s="20">
        <v>1</v>
      </c>
      <c r="AA21" s="46">
        <v>1</v>
      </c>
      <c r="AB21" s="18">
        <v>0</v>
      </c>
      <c r="AC21" s="50"/>
      <c r="AD21" s="50"/>
      <c r="AE21" s="50"/>
      <c r="AF21" s="50"/>
      <c r="AG21" t="str">
        <f t="shared" si="0"/>
        <v xml:space="preserve">1996, 1997, 1998, 1999, 2000, 2001, 2002, 2003, 2004, 2005, 2006, 2007, 2008, 2009, 2010, 2011, 2012, 2013, 2014, 2015, 2016, 2017, 2018, 2019, 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85" x14ac:dyDescent="0.35">
      <c r="A22" s="4">
        <v>19</v>
      </c>
      <c r="B22" s="5" t="s">
        <v>48</v>
      </c>
      <c r="C22" s="6" t="s">
        <v>243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26">
        <v>0</v>
      </c>
      <c r="O22" s="18">
        <v>0</v>
      </c>
      <c r="P22" s="18">
        <v>0</v>
      </c>
      <c r="Q22" s="21">
        <v>1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45">
        <v>0</v>
      </c>
      <c r="AB22" s="18">
        <v>0</v>
      </c>
      <c r="AC22" s="50"/>
      <c r="AD22" s="50"/>
      <c r="AE22" s="50"/>
      <c r="AF22" s="50"/>
      <c r="AG22" t="str">
        <f t="shared" si="0"/>
        <v xml:space="preserve">2009, </v>
      </c>
    </row>
    <row r="23" spans="1:85" x14ac:dyDescent="0.35">
      <c r="A23" s="4">
        <v>20</v>
      </c>
      <c r="B23" s="5" t="s">
        <v>49</v>
      </c>
      <c r="C23" s="6" t="s">
        <v>244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21">
        <v>1</v>
      </c>
      <c r="N23" s="26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26">
        <v>0</v>
      </c>
      <c r="X23" s="18">
        <v>0</v>
      </c>
      <c r="Y23" s="18">
        <v>0</v>
      </c>
      <c r="Z23" s="18">
        <v>0</v>
      </c>
      <c r="AA23" s="45">
        <v>0</v>
      </c>
      <c r="AB23" s="18">
        <v>0</v>
      </c>
      <c r="AC23" s="50"/>
      <c r="AD23" s="50"/>
      <c r="AE23" s="50"/>
      <c r="AF23" s="50"/>
      <c r="AG23" t="str">
        <f t="shared" si="0"/>
        <v xml:space="preserve">2005, </v>
      </c>
    </row>
    <row r="24" spans="1:85" x14ac:dyDescent="0.35">
      <c r="A24" s="4">
        <v>21</v>
      </c>
      <c r="B24" s="7" t="s">
        <v>50</v>
      </c>
      <c r="C24" s="8" t="s">
        <v>245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26">
        <v>0</v>
      </c>
      <c r="O24" s="18">
        <v>0</v>
      </c>
      <c r="P24" s="18">
        <v>0</v>
      </c>
      <c r="Q24" s="20">
        <v>1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20">
        <v>1</v>
      </c>
      <c r="Y24" s="20">
        <v>1</v>
      </c>
      <c r="Z24" s="20">
        <v>1</v>
      </c>
      <c r="AA24" s="45">
        <v>0</v>
      </c>
      <c r="AB24" s="18">
        <v>0</v>
      </c>
      <c r="AC24" s="50"/>
      <c r="AD24" s="50"/>
      <c r="AE24" s="50"/>
      <c r="AF24" s="50"/>
      <c r="AG24" t="str">
        <f t="shared" si="0"/>
        <v xml:space="preserve">2009, 2016, 2017, 2018, </v>
      </c>
    </row>
    <row r="25" spans="1:85" x14ac:dyDescent="0.35">
      <c r="A25" s="4">
        <v>22</v>
      </c>
      <c r="B25" s="5" t="s">
        <v>51</v>
      </c>
      <c r="C25" s="6" t="s">
        <v>246</v>
      </c>
      <c r="D25" s="18">
        <v>0</v>
      </c>
      <c r="E25" s="18">
        <v>0</v>
      </c>
      <c r="F25" s="18">
        <v>0</v>
      </c>
      <c r="G25" s="21">
        <v>1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23">
        <v>1</v>
      </c>
      <c r="N25" s="18">
        <v>0</v>
      </c>
      <c r="O25" s="26">
        <v>0</v>
      </c>
      <c r="P25" s="36">
        <v>0</v>
      </c>
      <c r="Q25" s="36">
        <v>0</v>
      </c>
      <c r="R25" s="36">
        <v>0</v>
      </c>
      <c r="S25" s="18">
        <v>0</v>
      </c>
      <c r="T25" s="18">
        <v>0</v>
      </c>
      <c r="U25" s="36">
        <v>0</v>
      </c>
      <c r="V25" s="18">
        <v>0</v>
      </c>
      <c r="W25" s="18">
        <v>0</v>
      </c>
      <c r="X25" s="26">
        <v>0</v>
      </c>
      <c r="Y25" s="18">
        <v>0</v>
      </c>
      <c r="Z25" s="18">
        <v>0</v>
      </c>
      <c r="AA25" s="45">
        <v>0</v>
      </c>
      <c r="AB25" s="18">
        <v>0</v>
      </c>
      <c r="AC25" s="50"/>
      <c r="AD25" s="50"/>
      <c r="AE25" s="50"/>
      <c r="AF25" s="50"/>
      <c r="AG25" t="str">
        <f t="shared" si="0"/>
        <v xml:space="preserve">1999, 2005, </v>
      </c>
    </row>
    <row r="26" spans="1:85" x14ac:dyDescent="0.35">
      <c r="A26" s="4">
        <v>23</v>
      </c>
      <c r="B26" s="5" t="s">
        <v>52</v>
      </c>
      <c r="C26" s="6" t="s">
        <v>247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21">
        <v>1</v>
      </c>
      <c r="O26" s="18">
        <v>0</v>
      </c>
      <c r="P26" s="18">
        <v>0</v>
      </c>
      <c r="Q26" s="21">
        <v>1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26">
        <v>0</v>
      </c>
      <c r="Y26" s="20">
        <v>1</v>
      </c>
      <c r="Z26" s="20">
        <v>1</v>
      </c>
      <c r="AA26" s="45">
        <v>1</v>
      </c>
      <c r="AB26" s="18">
        <v>0</v>
      </c>
      <c r="AC26" s="50"/>
      <c r="AD26" s="50"/>
      <c r="AE26" s="50"/>
      <c r="AF26" s="50"/>
      <c r="AG26" t="str">
        <f t="shared" si="0"/>
        <v xml:space="preserve">2006, 2009, 2017, 2018, 2019, </v>
      </c>
    </row>
    <row r="27" spans="1:85" x14ac:dyDescent="0.35">
      <c r="A27" s="4">
        <v>24</v>
      </c>
      <c r="B27" s="5" t="s">
        <v>53</v>
      </c>
      <c r="C27" s="6" t="s">
        <v>248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26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45">
        <v>0</v>
      </c>
      <c r="AB27" s="18">
        <v>0</v>
      </c>
      <c r="AC27" s="50"/>
      <c r="AD27" s="50"/>
      <c r="AE27" s="50"/>
      <c r="AF27" s="50"/>
      <c r="AG27" t="str">
        <f t="shared" si="0"/>
        <v/>
      </c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</row>
    <row r="28" spans="1:85" x14ac:dyDescent="0.35">
      <c r="A28" s="4">
        <v>25</v>
      </c>
      <c r="B28" s="5" t="s">
        <v>54</v>
      </c>
      <c r="C28" s="6" t="s">
        <v>249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26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26">
        <v>0</v>
      </c>
      <c r="AA28" s="45">
        <v>0</v>
      </c>
      <c r="AB28" s="18">
        <v>0</v>
      </c>
      <c r="AC28" s="50"/>
      <c r="AD28" s="50"/>
      <c r="AE28" s="50"/>
      <c r="AF28" s="50"/>
      <c r="AG28" t="str">
        <f t="shared" si="0"/>
        <v/>
      </c>
    </row>
    <row r="29" spans="1:85" s="22" customFormat="1" x14ac:dyDescent="0.35">
      <c r="A29" s="12">
        <v>26</v>
      </c>
      <c r="B29" s="13" t="s">
        <v>55</v>
      </c>
      <c r="C29" s="14" t="s">
        <v>250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6">
        <v>0</v>
      </c>
      <c r="M29" s="25">
        <v>0</v>
      </c>
      <c r="N29" s="26">
        <v>0</v>
      </c>
      <c r="O29" s="25">
        <v>0</v>
      </c>
      <c r="P29" s="25">
        <v>0</v>
      </c>
      <c r="Q29" s="25">
        <v>0</v>
      </c>
      <c r="R29" s="25">
        <v>0</v>
      </c>
      <c r="S29" s="20">
        <v>1</v>
      </c>
      <c r="T29" s="20">
        <v>1</v>
      </c>
      <c r="U29" s="20">
        <v>1</v>
      </c>
      <c r="V29" s="20">
        <v>1</v>
      </c>
      <c r="W29" s="20">
        <v>1</v>
      </c>
      <c r="X29" s="20">
        <v>1</v>
      </c>
      <c r="Y29" s="20">
        <v>1</v>
      </c>
      <c r="Z29" s="20">
        <v>1</v>
      </c>
      <c r="AA29" s="45">
        <v>0</v>
      </c>
      <c r="AB29" s="18">
        <v>0</v>
      </c>
      <c r="AC29" s="50"/>
      <c r="AD29" s="50"/>
      <c r="AE29" s="50"/>
      <c r="AF29" s="50"/>
      <c r="AG29" t="str">
        <f t="shared" si="0"/>
        <v xml:space="preserve">2011, 2012, 2013, 2014, 2015, 2016, 2017, 2018, </v>
      </c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</row>
    <row r="30" spans="1:85" x14ac:dyDescent="0.35">
      <c r="A30" s="4">
        <v>27</v>
      </c>
      <c r="B30" s="9" t="s">
        <v>56</v>
      </c>
      <c r="C30" s="6" t="s">
        <v>251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26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45">
        <v>0</v>
      </c>
      <c r="AB30" s="18">
        <v>0</v>
      </c>
      <c r="AC30" s="50"/>
      <c r="AD30" s="50"/>
      <c r="AE30" s="50"/>
      <c r="AF30" s="50"/>
      <c r="AG30" t="str">
        <f t="shared" si="0"/>
        <v/>
      </c>
    </row>
    <row r="31" spans="1:85" x14ac:dyDescent="0.35">
      <c r="A31" s="4">
        <v>28</v>
      </c>
      <c r="B31" s="7" t="s">
        <v>57</v>
      </c>
      <c r="C31" s="6" t="s">
        <v>252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1">
        <v>1</v>
      </c>
      <c r="O31" s="11">
        <v>1</v>
      </c>
      <c r="P31" s="11">
        <v>1</v>
      </c>
      <c r="Q31" s="11">
        <v>1</v>
      </c>
      <c r="R31" s="11">
        <v>1</v>
      </c>
      <c r="S31" s="11">
        <v>1</v>
      </c>
      <c r="T31" s="11">
        <v>1</v>
      </c>
      <c r="U31" s="11">
        <v>1</v>
      </c>
      <c r="V31" s="11">
        <v>1</v>
      </c>
      <c r="W31" s="11">
        <v>1</v>
      </c>
      <c r="X31" s="11">
        <v>1</v>
      </c>
      <c r="Y31" s="11">
        <v>1</v>
      </c>
      <c r="Z31" s="11">
        <v>1</v>
      </c>
      <c r="AA31" s="11">
        <v>1</v>
      </c>
      <c r="AB31" s="18">
        <v>0</v>
      </c>
      <c r="AC31" s="50"/>
      <c r="AD31" s="50"/>
      <c r="AE31" s="50"/>
      <c r="AF31" s="50"/>
      <c r="AG31" t="str">
        <f t="shared" si="0"/>
        <v xml:space="preserve">2006, 2007, 2008, 2009, 2010, 2011, 2012, 2013, 2014, 2015, 2016, 2017, 2018, 2019, </v>
      </c>
    </row>
    <row r="32" spans="1:85" x14ac:dyDescent="0.35">
      <c r="A32" s="4">
        <v>29</v>
      </c>
      <c r="B32" s="7" t="s">
        <v>58</v>
      </c>
      <c r="C32" s="8" t="s">
        <v>253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45">
        <v>0</v>
      </c>
      <c r="AB32" s="18">
        <v>0</v>
      </c>
      <c r="AC32" s="50"/>
      <c r="AD32" s="50"/>
      <c r="AE32" s="50"/>
      <c r="AF32" s="50"/>
      <c r="AG32" t="str">
        <f t="shared" si="0"/>
        <v/>
      </c>
    </row>
    <row r="33" spans="1:59" x14ac:dyDescent="0.35">
      <c r="A33" s="4">
        <v>30</v>
      </c>
      <c r="B33" s="5" t="s">
        <v>59</v>
      </c>
      <c r="C33" s="6" t="s">
        <v>254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21">
        <v>1</v>
      </c>
      <c r="O33" s="18">
        <v>0</v>
      </c>
      <c r="P33" s="18">
        <v>0</v>
      </c>
      <c r="Q33" s="18">
        <v>0</v>
      </c>
      <c r="R33" s="21">
        <v>1</v>
      </c>
      <c r="S33" s="18">
        <v>0</v>
      </c>
      <c r="T33" s="18">
        <v>0</v>
      </c>
      <c r="U33" s="18">
        <v>0</v>
      </c>
      <c r="V33" s="21">
        <v>1</v>
      </c>
      <c r="W33" s="18">
        <v>0</v>
      </c>
      <c r="X33" s="18">
        <v>0</v>
      </c>
      <c r="Y33" s="18">
        <v>0</v>
      </c>
      <c r="Z33" s="18">
        <v>0</v>
      </c>
      <c r="AA33" s="45">
        <v>0</v>
      </c>
      <c r="AB33" s="18">
        <v>0</v>
      </c>
      <c r="AC33" s="50"/>
      <c r="AD33" s="50"/>
      <c r="AE33" s="50"/>
      <c r="AF33" s="50"/>
      <c r="AG33" t="str">
        <f t="shared" si="0"/>
        <v xml:space="preserve">2006, 2010, 2014, </v>
      </c>
    </row>
    <row r="34" spans="1:59" x14ac:dyDescent="0.35">
      <c r="A34" s="4">
        <v>31</v>
      </c>
      <c r="B34" s="5" t="s">
        <v>60</v>
      </c>
      <c r="C34" s="6" t="s">
        <v>255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26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45">
        <v>0</v>
      </c>
      <c r="AB34" s="18">
        <v>0</v>
      </c>
      <c r="AC34" s="50"/>
      <c r="AD34" s="50"/>
      <c r="AE34" s="50"/>
      <c r="AF34" s="50"/>
      <c r="AG34" t="str">
        <f t="shared" si="0"/>
        <v/>
      </c>
    </row>
    <row r="35" spans="1:59" x14ac:dyDescent="0.35">
      <c r="A35" s="4">
        <v>32</v>
      </c>
      <c r="B35" s="7" t="s">
        <v>61</v>
      </c>
      <c r="C35" s="8" t="s">
        <v>256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35">
        <v>1</v>
      </c>
      <c r="T35" s="18">
        <v>0</v>
      </c>
      <c r="U35" s="18">
        <v>0</v>
      </c>
      <c r="V35" s="18">
        <v>0</v>
      </c>
      <c r="W35" s="20">
        <v>1</v>
      </c>
      <c r="X35" s="21">
        <v>1</v>
      </c>
      <c r="Y35" s="21">
        <v>1</v>
      </c>
      <c r="Z35" s="18">
        <v>0</v>
      </c>
      <c r="AA35" s="45">
        <v>0</v>
      </c>
      <c r="AB35" s="18">
        <v>0</v>
      </c>
      <c r="AC35" s="50"/>
      <c r="AD35" s="50"/>
      <c r="AE35" s="50"/>
      <c r="AF35" s="50"/>
      <c r="AG35" t="str">
        <f t="shared" si="0"/>
        <v xml:space="preserve">2011, 2015, 2016, 2017, </v>
      </c>
    </row>
    <row r="36" spans="1:59" x14ac:dyDescent="0.35">
      <c r="A36" s="4">
        <v>33</v>
      </c>
      <c r="B36" s="5" t="s">
        <v>62</v>
      </c>
      <c r="C36" s="6" t="s">
        <v>257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35">
        <v>1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35">
        <v>1</v>
      </c>
      <c r="Z36" s="18">
        <v>0</v>
      </c>
      <c r="AA36" s="45">
        <v>0</v>
      </c>
      <c r="AB36" s="18">
        <v>0</v>
      </c>
      <c r="AC36" s="50"/>
      <c r="AD36" s="50"/>
      <c r="AE36" s="50"/>
      <c r="AF36" s="50"/>
      <c r="AG36" t="str">
        <f t="shared" si="0"/>
        <v xml:space="preserve">2009, 2017, </v>
      </c>
    </row>
    <row r="37" spans="1:59" s="22" customFormat="1" x14ac:dyDescent="0.35">
      <c r="A37" s="4">
        <v>34</v>
      </c>
      <c r="B37" s="5" t="s">
        <v>63</v>
      </c>
      <c r="C37" s="6" t="s">
        <v>258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26">
        <v>0</v>
      </c>
      <c r="K37" s="18">
        <v>0</v>
      </c>
      <c r="L37" s="18">
        <v>0</v>
      </c>
      <c r="M37" s="26">
        <v>0</v>
      </c>
      <c r="N37" s="18">
        <v>0</v>
      </c>
      <c r="O37" s="18">
        <v>0</v>
      </c>
      <c r="P37" s="20">
        <v>1</v>
      </c>
      <c r="Q37" s="20">
        <v>1</v>
      </c>
      <c r="R37" s="20">
        <v>1</v>
      </c>
      <c r="S37" s="20">
        <v>1</v>
      </c>
      <c r="T37" s="20">
        <v>1</v>
      </c>
      <c r="U37" s="20">
        <v>1</v>
      </c>
      <c r="V37" s="20">
        <v>1</v>
      </c>
      <c r="W37" s="20">
        <v>1</v>
      </c>
      <c r="X37" s="20">
        <v>1</v>
      </c>
      <c r="Y37" s="20">
        <v>1</v>
      </c>
      <c r="Z37" s="20">
        <v>1</v>
      </c>
      <c r="AA37" s="46">
        <v>1</v>
      </c>
      <c r="AB37" s="18">
        <v>0</v>
      </c>
      <c r="AC37" s="50"/>
      <c r="AD37" s="50"/>
      <c r="AE37" s="50"/>
      <c r="AF37" s="50"/>
      <c r="AG37" t="str">
        <f t="shared" si="0"/>
        <v xml:space="preserve">2008, 2009, 2010, 2011, 2012, 2013, 2014, 2015, 2016, 2017, 2018, 2019, 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x14ac:dyDescent="0.35">
      <c r="A38" s="4">
        <v>35</v>
      </c>
      <c r="B38" s="27" t="s">
        <v>64</v>
      </c>
      <c r="C38" s="8" t="s">
        <v>259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26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45">
        <v>0</v>
      </c>
      <c r="AB38" s="18">
        <v>0</v>
      </c>
      <c r="AC38" s="50"/>
      <c r="AD38" s="50"/>
      <c r="AE38" s="50"/>
      <c r="AF38" s="50"/>
      <c r="AG38" t="str">
        <f t="shared" si="0"/>
        <v/>
      </c>
    </row>
    <row r="39" spans="1:59" x14ac:dyDescent="0.35">
      <c r="A39" s="4">
        <v>36</v>
      </c>
      <c r="B39" s="5" t="s">
        <v>65</v>
      </c>
      <c r="C39" s="6" t="s">
        <v>260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26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45">
        <v>0</v>
      </c>
      <c r="AB39" s="18">
        <v>0</v>
      </c>
      <c r="AC39" s="50"/>
      <c r="AD39" s="50"/>
      <c r="AE39" s="50"/>
      <c r="AF39" s="50"/>
      <c r="AG39" t="str">
        <f t="shared" si="0"/>
        <v/>
      </c>
    </row>
    <row r="40" spans="1:59" x14ac:dyDescent="0.35">
      <c r="A40" s="4">
        <v>37</v>
      </c>
      <c r="B40" s="5" t="s">
        <v>66</v>
      </c>
      <c r="C40" s="6" t="s">
        <v>261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26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26">
        <v>0</v>
      </c>
      <c r="Z40" s="18">
        <v>0</v>
      </c>
      <c r="AA40" s="45">
        <v>0</v>
      </c>
      <c r="AB40" s="18">
        <v>0</v>
      </c>
      <c r="AC40" s="50"/>
      <c r="AD40" s="50"/>
      <c r="AE40" s="50"/>
      <c r="AF40" s="50"/>
      <c r="AG40" t="str">
        <f t="shared" si="0"/>
        <v/>
      </c>
    </row>
    <row r="41" spans="1:59" x14ac:dyDescent="0.35">
      <c r="A41" s="4">
        <v>38</v>
      </c>
      <c r="B41" s="27" t="s">
        <v>67</v>
      </c>
      <c r="C41" s="8" t="s">
        <v>262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20">
        <v>1</v>
      </c>
      <c r="O41" s="20">
        <v>1</v>
      </c>
      <c r="P41" s="20">
        <v>1</v>
      </c>
      <c r="Q41" s="20">
        <v>1</v>
      </c>
      <c r="R41" s="20">
        <v>1</v>
      </c>
      <c r="S41" s="18">
        <v>0</v>
      </c>
      <c r="T41" s="20">
        <v>1</v>
      </c>
      <c r="U41" s="20">
        <v>1</v>
      </c>
      <c r="V41" s="20">
        <v>1</v>
      </c>
      <c r="W41" s="20">
        <v>1</v>
      </c>
      <c r="X41" s="20">
        <v>1</v>
      </c>
      <c r="Y41" s="20">
        <v>1</v>
      </c>
      <c r="Z41" s="20">
        <v>1</v>
      </c>
      <c r="AA41" s="45">
        <v>0</v>
      </c>
      <c r="AB41" s="18">
        <v>0</v>
      </c>
      <c r="AC41" s="50"/>
      <c r="AD41" s="50"/>
      <c r="AE41" s="50"/>
      <c r="AF41" s="50"/>
      <c r="AG41" t="str">
        <f t="shared" si="0"/>
        <v xml:space="preserve">2006, 2007, 2008, 2009, 2010, 2012, 2013, 2014, 2015, 2016, 2017, 2018, </v>
      </c>
    </row>
    <row r="42" spans="1:59" x14ac:dyDescent="0.35">
      <c r="A42" s="4">
        <v>39</v>
      </c>
      <c r="B42" s="5" t="s">
        <v>68</v>
      </c>
      <c r="C42" s="6" t="s">
        <v>263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26">
        <v>0</v>
      </c>
      <c r="L42" s="26">
        <v>0</v>
      </c>
      <c r="M42" s="18">
        <v>0</v>
      </c>
      <c r="N42" s="26">
        <v>0</v>
      </c>
      <c r="O42" s="18">
        <v>0</v>
      </c>
      <c r="P42" s="26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26">
        <v>0</v>
      </c>
      <c r="Z42" s="18">
        <v>0</v>
      </c>
      <c r="AA42" s="45">
        <v>0</v>
      </c>
      <c r="AB42" s="18">
        <v>0</v>
      </c>
      <c r="AC42" s="50"/>
      <c r="AD42" s="50"/>
      <c r="AE42" s="50"/>
      <c r="AF42" s="50"/>
      <c r="AG42" t="str">
        <f t="shared" si="0"/>
        <v/>
      </c>
    </row>
    <row r="43" spans="1:59" x14ac:dyDescent="0.35">
      <c r="A43" s="4">
        <v>40</v>
      </c>
      <c r="B43" s="5" t="s">
        <v>69</v>
      </c>
      <c r="C43" s="6" t="s">
        <v>264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26">
        <v>0</v>
      </c>
      <c r="O43" s="18">
        <v>0</v>
      </c>
      <c r="P43" s="18">
        <v>0</v>
      </c>
      <c r="Q43" s="18">
        <v>0</v>
      </c>
      <c r="R43" s="18">
        <v>0</v>
      </c>
      <c r="S43" s="26">
        <v>0</v>
      </c>
      <c r="T43" s="18">
        <v>0</v>
      </c>
      <c r="U43" s="18">
        <v>0</v>
      </c>
      <c r="V43" s="18">
        <v>0</v>
      </c>
      <c r="W43" s="18">
        <v>0</v>
      </c>
      <c r="X43" s="26">
        <v>0</v>
      </c>
      <c r="Y43" s="18">
        <v>0</v>
      </c>
      <c r="Z43" s="18">
        <v>0</v>
      </c>
      <c r="AA43" s="45">
        <v>0</v>
      </c>
      <c r="AB43" s="18">
        <v>0</v>
      </c>
      <c r="AC43" s="50"/>
      <c r="AD43" s="50"/>
      <c r="AE43" s="50"/>
      <c r="AF43" s="50"/>
      <c r="AG43" t="str">
        <f t="shared" si="0"/>
        <v/>
      </c>
    </row>
    <row r="44" spans="1:59" x14ac:dyDescent="0.35">
      <c r="A44" s="4">
        <v>41</v>
      </c>
      <c r="B44" s="5" t="s">
        <v>70</v>
      </c>
      <c r="C44" s="6" t="s">
        <v>265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45">
        <v>0</v>
      </c>
      <c r="AB44" s="18">
        <v>0</v>
      </c>
      <c r="AC44" s="50"/>
      <c r="AD44" s="50"/>
      <c r="AE44" s="50"/>
      <c r="AF44" s="50"/>
      <c r="AG44" t="str">
        <f t="shared" si="0"/>
        <v/>
      </c>
    </row>
    <row r="45" spans="1:59" x14ac:dyDescent="0.35">
      <c r="A45" s="4">
        <v>42</v>
      </c>
      <c r="B45" s="5" t="s">
        <v>71</v>
      </c>
      <c r="C45" s="6" t="s">
        <v>266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26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45">
        <v>0</v>
      </c>
      <c r="AB45" s="18">
        <v>0</v>
      </c>
      <c r="AC45" s="50"/>
      <c r="AD45" s="50"/>
      <c r="AE45" s="50"/>
      <c r="AF45" s="50"/>
      <c r="AG45" t="str">
        <f t="shared" si="0"/>
        <v/>
      </c>
    </row>
    <row r="46" spans="1:59" x14ac:dyDescent="0.35">
      <c r="A46" s="4">
        <v>43</v>
      </c>
      <c r="B46" s="5" t="s">
        <v>72</v>
      </c>
      <c r="C46" s="6" t="s">
        <v>267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26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26">
        <v>0</v>
      </c>
      <c r="Y46" s="18">
        <v>0</v>
      </c>
      <c r="Z46" s="18">
        <v>0</v>
      </c>
      <c r="AA46" s="45">
        <v>0</v>
      </c>
      <c r="AB46" s="18">
        <v>0</v>
      </c>
      <c r="AC46" s="50"/>
      <c r="AD46" s="50"/>
      <c r="AE46" s="50"/>
      <c r="AF46" s="50"/>
      <c r="AG46" t="str">
        <f t="shared" si="0"/>
        <v/>
      </c>
    </row>
    <row r="47" spans="1:59" x14ac:dyDescent="0.35">
      <c r="A47" s="4">
        <v>44</v>
      </c>
      <c r="B47" s="7" t="s">
        <v>73</v>
      </c>
      <c r="C47" s="8" t="s">
        <v>268</v>
      </c>
      <c r="D47" s="18">
        <v>0</v>
      </c>
      <c r="E47" s="21">
        <v>1</v>
      </c>
      <c r="F47" s="21">
        <v>1</v>
      </c>
      <c r="G47" s="21">
        <v>1</v>
      </c>
      <c r="H47" s="21">
        <v>1</v>
      </c>
      <c r="I47" s="21">
        <v>1</v>
      </c>
      <c r="J47" s="21">
        <v>1</v>
      </c>
      <c r="K47" s="21">
        <v>1</v>
      </c>
      <c r="L47" s="21">
        <v>1</v>
      </c>
      <c r="M47" s="21">
        <v>1</v>
      </c>
      <c r="N47" s="21">
        <v>1</v>
      </c>
      <c r="O47" s="21">
        <v>1</v>
      </c>
      <c r="P47" s="21">
        <v>1</v>
      </c>
      <c r="Q47" s="21">
        <v>1</v>
      </c>
      <c r="R47" s="21">
        <v>1</v>
      </c>
      <c r="S47" s="11">
        <v>1</v>
      </c>
      <c r="T47" s="11">
        <v>1</v>
      </c>
      <c r="U47" s="11">
        <v>1</v>
      </c>
      <c r="V47" s="11">
        <v>1</v>
      </c>
      <c r="W47" s="11">
        <v>1</v>
      </c>
      <c r="X47" s="11">
        <v>1</v>
      </c>
      <c r="Y47" s="11">
        <v>1</v>
      </c>
      <c r="Z47" s="18">
        <v>0</v>
      </c>
      <c r="AA47" s="45">
        <v>0</v>
      </c>
      <c r="AB47" s="18">
        <v>0</v>
      </c>
      <c r="AC47" s="50"/>
      <c r="AD47" s="50"/>
      <c r="AE47" s="50"/>
      <c r="AF47" s="50"/>
      <c r="AG47" t="str">
        <f t="shared" si="0"/>
        <v xml:space="preserve">1997, 1998, 1999, 2000, 2001, 2002, 2003, 2004, 2005, 2006, 2007, 2008, 2009, 2010, 2011, 2012, 2013, 2014, 2015, 2016, 2017, </v>
      </c>
    </row>
    <row r="48" spans="1:59" x14ac:dyDescent="0.35">
      <c r="A48" s="4">
        <v>45</v>
      </c>
      <c r="B48" s="5" t="s">
        <v>74</v>
      </c>
      <c r="C48" s="6" t="s">
        <v>269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26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45">
        <v>0</v>
      </c>
      <c r="AB48" s="18">
        <v>0</v>
      </c>
      <c r="AC48" s="50"/>
      <c r="AD48" s="50"/>
      <c r="AE48" s="50"/>
      <c r="AF48" s="50"/>
      <c r="AG48" t="str">
        <f t="shared" si="0"/>
        <v/>
      </c>
    </row>
    <row r="49" spans="1:33" x14ac:dyDescent="0.35">
      <c r="A49" s="4">
        <v>46</v>
      </c>
      <c r="B49" s="5" t="s">
        <v>75</v>
      </c>
      <c r="C49" s="6" t="s">
        <v>270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26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45">
        <v>0</v>
      </c>
      <c r="AB49" s="18">
        <v>0</v>
      </c>
      <c r="AC49" s="50"/>
      <c r="AD49" s="50"/>
      <c r="AE49" s="50"/>
      <c r="AF49" s="50"/>
      <c r="AG49" t="str">
        <f t="shared" si="0"/>
        <v/>
      </c>
    </row>
    <row r="50" spans="1:33" x14ac:dyDescent="0.35">
      <c r="A50" s="4">
        <v>47</v>
      </c>
      <c r="B50" s="5" t="s">
        <v>76</v>
      </c>
      <c r="C50" s="6" t="s">
        <v>271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6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45">
        <v>0</v>
      </c>
      <c r="AB50" s="18">
        <v>0</v>
      </c>
      <c r="AC50" s="50"/>
      <c r="AD50" s="50"/>
      <c r="AE50" s="50"/>
      <c r="AF50" s="50"/>
      <c r="AG50" t="str">
        <f t="shared" si="0"/>
        <v/>
      </c>
    </row>
    <row r="51" spans="1:33" x14ac:dyDescent="0.35">
      <c r="A51" s="4">
        <v>48</v>
      </c>
      <c r="B51" s="5" t="s">
        <v>77</v>
      </c>
      <c r="C51" s="6" t="s">
        <v>272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26">
        <v>0</v>
      </c>
      <c r="K51" s="18">
        <v>0</v>
      </c>
      <c r="L51" s="18">
        <v>0</v>
      </c>
      <c r="M51" s="26">
        <v>0</v>
      </c>
      <c r="N51" s="18">
        <v>0</v>
      </c>
      <c r="O51" s="18">
        <v>0</v>
      </c>
      <c r="P51" s="11">
        <v>1</v>
      </c>
      <c r="Q51" s="11">
        <v>1</v>
      </c>
      <c r="R51" s="11">
        <v>1</v>
      </c>
      <c r="S51" s="11">
        <v>1</v>
      </c>
      <c r="T51" s="11">
        <v>1</v>
      </c>
      <c r="U51" s="11">
        <v>1</v>
      </c>
      <c r="V51" s="11">
        <v>1</v>
      </c>
      <c r="W51" s="11">
        <v>1</v>
      </c>
      <c r="X51" s="11">
        <v>1</v>
      </c>
      <c r="Y51" s="11">
        <v>1</v>
      </c>
      <c r="Z51" s="11">
        <v>1</v>
      </c>
      <c r="AA51" s="11">
        <v>1</v>
      </c>
      <c r="AB51" s="18">
        <v>0</v>
      </c>
      <c r="AC51" s="50"/>
      <c r="AD51" s="50"/>
      <c r="AE51" s="50"/>
      <c r="AF51" s="50"/>
      <c r="AG51" t="str">
        <f t="shared" si="0"/>
        <v xml:space="preserve">2008, 2009, 2010, 2011, 2012, 2013, 2014, 2015, 2016, 2017, 2018, 2019, </v>
      </c>
    </row>
    <row r="52" spans="1:33" x14ac:dyDescent="0.35">
      <c r="A52" s="4">
        <v>49</v>
      </c>
      <c r="B52" s="5" t="s">
        <v>78</v>
      </c>
      <c r="C52" s="6" t="s">
        <v>273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26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20">
        <v>1</v>
      </c>
      <c r="V52" s="26">
        <v>0</v>
      </c>
      <c r="W52" s="18">
        <v>1</v>
      </c>
      <c r="X52" s="18">
        <v>0</v>
      </c>
      <c r="Y52" s="18">
        <v>0</v>
      </c>
      <c r="Z52" s="18">
        <v>0</v>
      </c>
      <c r="AA52" s="45">
        <v>0</v>
      </c>
      <c r="AB52" s="18">
        <v>0</v>
      </c>
      <c r="AC52" s="50"/>
      <c r="AD52" s="50"/>
      <c r="AE52" s="50"/>
      <c r="AF52" s="50"/>
      <c r="AG52" t="str">
        <f t="shared" si="0"/>
        <v xml:space="preserve">2013, 2015, </v>
      </c>
    </row>
    <row r="53" spans="1:33" x14ac:dyDescent="0.35">
      <c r="A53" s="4">
        <v>50</v>
      </c>
      <c r="B53" s="27" t="s">
        <v>79</v>
      </c>
      <c r="C53" s="8" t="s">
        <v>274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45">
        <v>0</v>
      </c>
      <c r="AB53" s="18">
        <v>0</v>
      </c>
      <c r="AC53" s="50"/>
      <c r="AD53" s="50"/>
      <c r="AE53" s="50"/>
      <c r="AF53" s="50"/>
      <c r="AG53" t="str">
        <f t="shared" si="0"/>
        <v/>
      </c>
    </row>
    <row r="54" spans="1:33" x14ac:dyDescent="0.35">
      <c r="A54" s="4">
        <v>51</v>
      </c>
      <c r="B54" s="5" t="s">
        <v>80</v>
      </c>
      <c r="C54" s="6" t="s">
        <v>275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26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45">
        <v>0</v>
      </c>
      <c r="AB54" s="18">
        <v>0</v>
      </c>
      <c r="AC54" s="50"/>
      <c r="AD54" s="50"/>
      <c r="AE54" s="50"/>
      <c r="AF54" s="50"/>
      <c r="AG54" t="str">
        <f t="shared" si="0"/>
        <v/>
      </c>
    </row>
    <row r="55" spans="1:33" x14ac:dyDescent="0.35">
      <c r="A55" s="4">
        <v>52</v>
      </c>
      <c r="B55" s="5" t="s">
        <v>81</v>
      </c>
      <c r="C55" s="6" t="s">
        <v>276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26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26">
        <v>0</v>
      </c>
      <c r="Y55" s="18">
        <v>0</v>
      </c>
      <c r="Z55" s="18">
        <v>0</v>
      </c>
      <c r="AA55" s="45">
        <v>0</v>
      </c>
      <c r="AB55" s="18">
        <v>0</v>
      </c>
      <c r="AC55" s="50"/>
      <c r="AD55" s="50"/>
      <c r="AE55" s="50"/>
      <c r="AF55" s="50"/>
      <c r="AG55" t="str">
        <f t="shared" si="0"/>
        <v/>
      </c>
    </row>
    <row r="56" spans="1:33" x14ac:dyDescent="0.35">
      <c r="A56" s="4">
        <v>53</v>
      </c>
      <c r="B56" s="5" t="s">
        <v>82</v>
      </c>
      <c r="C56" s="6" t="s">
        <v>277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26">
        <v>1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45">
        <v>0</v>
      </c>
      <c r="AB56" s="18">
        <v>0</v>
      </c>
      <c r="AC56" s="50"/>
      <c r="AD56" s="50"/>
      <c r="AE56" s="50"/>
      <c r="AF56" s="50"/>
      <c r="AG56" t="str">
        <f t="shared" si="0"/>
        <v xml:space="preserve">2006, </v>
      </c>
    </row>
    <row r="57" spans="1:33" x14ac:dyDescent="0.35">
      <c r="A57" s="4">
        <v>54</v>
      </c>
      <c r="B57" s="5" t="s">
        <v>83</v>
      </c>
      <c r="C57" s="6" t="s">
        <v>278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26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45">
        <v>0</v>
      </c>
      <c r="AB57" s="18">
        <v>0</v>
      </c>
      <c r="AC57" s="50"/>
      <c r="AD57" s="50"/>
      <c r="AE57" s="50"/>
      <c r="AF57" s="50"/>
      <c r="AG57" t="str">
        <f t="shared" si="0"/>
        <v/>
      </c>
    </row>
    <row r="58" spans="1:33" x14ac:dyDescent="0.35">
      <c r="A58" s="4">
        <v>55</v>
      </c>
      <c r="B58" s="5" t="s">
        <v>84</v>
      </c>
      <c r="C58" s="6" t="s">
        <v>279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45">
        <v>0</v>
      </c>
      <c r="AB58" s="18">
        <v>0</v>
      </c>
      <c r="AC58" s="50"/>
      <c r="AD58" s="50"/>
      <c r="AE58" s="50"/>
      <c r="AF58" s="50"/>
      <c r="AG58" t="str">
        <f t="shared" si="0"/>
        <v/>
      </c>
    </row>
    <row r="59" spans="1:33" x14ac:dyDescent="0.35">
      <c r="A59" s="4">
        <v>56</v>
      </c>
      <c r="B59" s="5" t="s">
        <v>85</v>
      </c>
      <c r="C59" s="6" t="s">
        <v>280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26">
        <v>0</v>
      </c>
      <c r="O59" s="18">
        <v>0</v>
      </c>
      <c r="P59" s="18">
        <v>0</v>
      </c>
      <c r="Q59" s="18">
        <v>0</v>
      </c>
      <c r="R59" s="18">
        <v>0</v>
      </c>
      <c r="S59" s="26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26">
        <v>0</v>
      </c>
      <c r="Z59" s="18">
        <v>0</v>
      </c>
      <c r="AA59" s="45">
        <v>0</v>
      </c>
      <c r="AB59" s="18">
        <v>0</v>
      </c>
      <c r="AC59" s="50"/>
      <c r="AD59" s="50"/>
      <c r="AE59" s="50"/>
      <c r="AF59" s="50"/>
      <c r="AG59" t="str">
        <f t="shared" si="0"/>
        <v/>
      </c>
    </row>
    <row r="60" spans="1:33" x14ac:dyDescent="0.35">
      <c r="A60" s="4">
        <v>57</v>
      </c>
      <c r="B60" s="7" t="s">
        <v>86</v>
      </c>
      <c r="C60" s="8" t="s">
        <v>281</v>
      </c>
      <c r="D60" s="21">
        <v>1</v>
      </c>
      <c r="E60" s="21">
        <v>1</v>
      </c>
      <c r="F60" s="21">
        <v>1</v>
      </c>
      <c r="G60" s="21">
        <v>1</v>
      </c>
      <c r="H60" s="21">
        <v>1</v>
      </c>
      <c r="I60" s="21">
        <v>1</v>
      </c>
      <c r="J60" s="21">
        <v>1</v>
      </c>
      <c r="K60" s="21">
        <v>1</v>
      </c>
      <c r="L60" s="21">
        <v>1</v>
      </c>
      <c r="M60" s="21">
        <v>1</v>
      </c>
      <c r="N60" s="21">
        <v>1</v>
      </c>
      <c r="O60" s="21">
        <v>1</v>
      </c>
      <c r="P60" s="21">
        <v>1</v>
      </c>
      <c r="Q60" s="21">
        <v>1</v>
      </c>
      <c r="R60" s="21">
        <v>1</v>
      </c>
      <c r="S60" s="21">
        <v>1</v>
      </c>
      <c r="T60" s="21">
        <v>1</v>
      </c>
      <c r="U60" s="21">
        <v>1</v>
      </c>
      <c r="V60" s="20">
        <v>1</v>
      </c>
      <c r="W60" s="20">
        <v>1</v>
      </c>
      <c r="X60" s="20">
        <v>1</v>
      </c>
      <c r="Y60" s="20">
        <v>1</v>
      </c>
      <c r="Z60" s="18">
        <v>0</v>
      </c>
      <c r="AA60" s="45">
        <v>0</v>
      </c>
      <c r="AB60" s="18">
        <v>0</v>
      </c>
      <c r="AC60" s="50"/>
      <c r="AD60" s="50">
        <v>1</v>
      </c>
      <c r="AE60" s="50">
        <v>1</v>
      </c>
      <c r="AF60" s="50">
        <v>1</v>
      </c>
      <c r="AG60" t="str">
        <f t="shared" si="0"/>
        <v xml:space="preserve">1996, 1997, 1998, 1999, 2000, 2001, 2002, 2003, 2004, 2005, 2006, 2007, 2008, 2009, 2010, 2011, 2012, 2013, 2014, 2015, 2016, 2017, 2022, 2023, 2024, </v>
      </c>
    </row>
    <row r="61" spans="1:33" x14ac:dyDescent="0.35">
      <c r="A61" s="4">
        <v>58</v>
      </c>
      <c r="B61" s="5" t="s">
        <v>87</v>
      </c>
      <c r="C61" s="6" t="s">
        <v>282</v>
      </c>
      <c r="D61" s="20">
        <v>1</v>
      </c>
      <c r="E61" s="20">
        <v>1</v>
      </c>
      <c r="F61" s="20">
        <v>1</v>
      </c>
      <c r="G61" s="20">
        <v>1</v>
      </c>
      <c r="H61" s="20">
        <v>1</v>
      </c>
      <c r="I61" s="20">
        <v>1</v>
      </c>
      <c r="J61" s="20">
        <v>1</v>
      </c>
      <c r="K61" s="20">
        <v>1</v>
      </c>
      <c r="L61" s="20">
        <v>1</v>
      </c>
      <c r="M61" s="20">
        <v>1</v>
      </c>
      <c r="N61" s="20">
        <v>1</v>
      </c>
      <c r="O61" s="20">
        <v>1</v>
      </c>
      <c r="P61" s="20">
        <v>1</v>
      </c>
      <c r="Q61" s="20">
        <v>1</v>
      </c>
      <c r="R61" s="20">
        <v>1</v>
      </c>
      <c r="S61" s="20">
        <v>1</v>
      </c>
      <c r="T61" s="20">
        <v>1</v>
      </c>
      <c r="U61" s="20">
        <v>1</v>
      </c>
      <c r="V61" s="20">
        <v>1</v>
      </c>
      <c r="W61" s="26">
        <v>0</v>
      </c>
      <c r="X61" s="18">
        <v>0</v>
      </c>
      <c r="Y61" s="18">
        <v>0</v>
      </c>
      <c r="Z61" s="18">
        <v>0</v>
      </c>
      <c r="AA61" s="45">
        <v>0</v>
      </c>
      <c r="AB61" s="18">
        <v>0</v>
      </c>
      <c r="AC61" s="50"/>
      <c r="AD61" s="50"/>
      <c r="AE61" s="50"/>
      <c r="AF61" s="50"/>
      <c r="AG61" t="str">
        <f t="shared" si="0"/>
        <v xml:space="preserve">1996, 1997, 1998, 1999, 2000, 2001, 2002, 2003, 2004, 2005, 2006, 2007, 2008, 2009, 2010, 2011, 2012, 2013, 2014, </v>
      </c>
    </row>
    <row r="62" spans="1:33" x14ac:dyDescent="0.35">
      <c r="A62" s="4">
        <v>59</v>
      </c>
      <c r="B62" s="7" t="s">
        <v>88</v>
      </c>
      <c r="C62" s="8" t="s">
        <v>283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45">
        <v>0</v>
      </c>
      <c r="AB62" s="18">
        <v>0</v>
      </c>
      <c r="AC62" s="50"/>
      <c r="AD62" s="50"/>
      <c r="AE62" s="50"/>
      <c r="AF62" s="50"/>
      <c r="AG62" t="str">
        <f t="shared" si="0"/>
        <v/>
      </c>
    </row>
    <row r="63" spans="1:33" x14ac:dyDescent="0.35">
      <c r="A63" s="4">
        <v>60</v>
      </c>
      <c r="B63" s="5" t="s">
        <v>89</v>
      </c>
      <c r="C63" s="6" t="s">
        <v>284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26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45">
        <v>0</v>
      </c>
      <c r="AB63" s="18">
        <v>0</v>
      </c>
      <c r="AC63" s="50"/>
      <c r="AD63" s="50"/>
      <c r="AE63" s="50"/>
      <c r="AF63" s="50"/>
      <c r="AG63" t="str">
        <f t="shared" si="0"/>
        <v/>
      </c>
    </row>
    <row r="64" spans="1:33" x14ac:dyDescent="0.35">
      <c r="A64" s="4">
        <v>61</v>
      </c>
      <c r="B64" s="5" t="s">
        <v>90</v>
      </c>
      <c r="C64" s="6" t="s">
        <v>285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26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45">
        <v>0</v>
      </c>
      <c r="AB64" s="18">
        <v>0</v>
      </c>
      <c r="AC64" s="50"/>
      <c r="AD64" s="50"/>
      <c r="AE64" s="50"/>
      <c r="AF64" s="50"/>
      <c r="AG64" t="str">
        <f t="shared" si="0"/>
        <v/>
      </c>
    </row>
    <row r="65" spans="1:33" x14ac:dyDescent="0.35">
      <c r="A65" s="4">
        <v>62</v>
      </c>
      <c r="B65" s="5" t="s">
        <v>91</v>
      </c>
      <c r="C65" s="6" t="s">
        <v>286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26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20">
        <v>1</v>
      </c>
      <c r="V65" s="26">
        <v>0</v>
      </c>
      <c r="W65" s="20">
        <v>1</v>
      </c>
      <c r="X65" s="18">
        <v>0</v>
      </c>
      <c r="Y65" s="18">
        <v>0</v>
      </c>
      <c r="Z65" s="18">
        <v>0</v>
      </c>
      <c r="AA65" s="45">
        <v>0</v>
      </c>
      <c r="AB65" s="18">
        <v>0</v>
      </c>
      <c r="AC65" s="50"/>
      <c r="AD65" s="50"/>
      <c r="AE65" s="50"/>
      <c r="AF65" s="50"/>
      <c r="AG65" t="str">
        <f t="shared" si="0"/>
        <v xml:space="preserve">2013, 2015, </v>
      </c>
    </row>
    <row r="66" spans="1:33" x14ac:dyDescent="0.35">
      <c r="A66" s="4">
        <v>63</v>
      </c>
      <c r="B66" s="5" t="s">
        <v>92</v>
      </c>
      <c r="C66" s="6" t="s">
        <v>287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26">
        <v>0</v>
      </c>
      <c r="K66" s="18">
        <v>0</v>
      </c>
      <c r="L66" s="18">
        <v>0</v>
      </c>
      <c r="M66" s="26">
        <v>0</v>
      </c>
      <c r="N66" s="18">
        <v>0</v>
      </c>
      <c r="O66" s="18">
        <v>0</v>
      </c>
      <c r="P66" s="18">
        <v>0</v>
      </c>
      <c r="Q66" s="26">
        <v>0</v>
      </c>
      <c r="R66" s="18">
        <v>0</v>
      </c>
      <c r="S66" s="18">
        <v>0</v>
      </c>
      <c r="T66" s="18">
        <v>0</v>
      </c>
      <c r="U66" s="26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45">
        <v>0</v>
      </c>
      <c r="AB66" s="18">
        <v>0</v>
      </c>
      <c r="AC66" s="50"/>
      <c r="AD66" s="50"/>
      <c r="AE66" s="50"/>
      <c r="AF66" s="50"/>
      <c r="AG66" t="str">
        <f t="shared" si="0"/>
        <v/>
      </c>
    </row>
    <row r="67" spans="1:33" x14ac:dyDescent="0.35">
      <c r="A67" s="4">
        <v>64</v>
      </c>
      <c r="B67" s="5" t="s">
        <v>93</v>
      </c>
      <c r="C67" s="6" t="s">
        <v>288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26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26">
        <v>0</v>
      </c>
      <c r="V67" s="26">
        <v>0</v>
      </c>
      <c r="W67" s="18">
        <v>0</v>
      </c>
      <c r="X67" s="26">
        <v>0</v>
      </c>
      <c r="Y67" s="18">
        <v>0</v>
      </c>
      <c r="Z67" s="26">
        <v>0</v>
      </c>
      <c r="AA67" s="45">
        <v>0</v>
      </c>
      <c r="AB67" s="18">
        <v>0</v>
      </c>
      <c r="AC67" s="50"/>
      <c r="AD67" s="50"/>
      <c r="AE67" s="50"/>
      <c r="AF67" s="50"/>
      <c r="AG67" t="str">
        <f t="shared" si="0"/>
        <v/>
      </c>
    </row>
    <row r="68" spans="1:33" x14ac:dyDescent="0.35">
      <c r="A68" s="4">
        <v>65</v>
      </c>
      <c r="B68" s="5" t="s">
        <v>94</v>
      </c>
      <c r="C68" s="6" t="s">
        <v>289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45">
        <v>0</v>
      </c>
      <c r="AB68" s="18">
        <v>0</v>
      </c>
      <c r="AC68" s="50"/>
      <c r="AD68" s="50"/>
      <c r="AE68" s="50"/>
      <c r="AF68" s="50"/>
      <c r="AG68" t="str">
        <f t="shared" si="0"/>
        <v/>
      </c>
    </row>
    <row r="69" spans="1:33" x14ac:dyDescent="0.35">
      <c r="A69" s="4">
        <v>66</v>
      </c>
      <c r="B69" s="5" t="s">
        <v>95</v>
      </c>
      <c r="C69" s="6" t="s">
        <v>290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20">
        <v>1</v>
      </c>
      <c r="N69" s="20">
        <v>1</v>
      </c>
      <c r="O69" s="20">
        <v>1</v>
      </c>
      <c r="P69" s="20">
        <v>1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V69" s="20">
        <v>1</v>
      </c>
      <c r="W69" s="20">
        <v>1</v>
      </c>
      <c r="X69" s="20">
        <v>1</v>
      </c>
      <c r="Y69" s="20">
        <v>1</v>
      </c>
      <c r="Z69" s="20">
        <v>1</v>
      </c>
      <c r="AA69" s="46">
        <v>1</v>
      </c>
      <c r="AB69" s="18">
        <v>0</v>
      </c>
      <c r="AC69" s="50"/>
      <c r="AD69" s="50"/>
      <c r="AE69" s="50"/>
      <c r="AF69" s="50"/>
      <c r="AG69" t="str">
        <f t="shared" ref="AG69:AG132" si="1">+IF($D69=1,RIGHT(D$3,4)&amp;", ","")&amp;IF($E69=1,RIGHT(E$3,4)&amp;", ","")&amp;IF($F69=1,RIGHT(F$3,4)&amp;", ","")&amp;IF($G69=1,RIGHT(G$3,4)&amp;", ","")&amp;IF($H69=1,RIGHT(H$3,4)&amp;", ","")&amp;IF($I69=1,RIGHT(I$3,4)&amp;", ","")&amp;IF($J69=1,RIGHT(J$3,4)&amp;", ","")&amp;IF($K69=1,RIGHT(K$3,4)&amp;", ","")&amp;IF($L69=1,RIGHT(L$3,4)&amp;", ","")&amp;IF($M69=1,RIGHT(M$3,4)&amp;", ","")&amp;IF($N69=1,RIGHT(N$3,4)&amp;", ","")&amp;IF($O69=1,RIGHT(O$3,4)&amp;", ","")&amp;IF($P69=1,RIGHT(P$3,4)&amp;", ","")&amp;IF($Q69=1,RIGHT(Q$3,4)&amp;", ","")&amp;IF($R69=1,RIGHT(R$3,4)&amp;", ","")&amp;IF($S69=1,RIGHT(S$3,4)&amp;", ","")&amp;IF($T69=1,RIGHT(T$3,4)&amp;", ","")&amp;IF($U69=1,RIGHT(U$3,4)&amp;", ","")&amp;IF($V69=1,RIGHT(V$3,4)&amp;", ","")&amp;IF($W69=1,RIGHT(W$3,4)&amp;", ","")&amp;IF($X69=1,RIGHT(X$3,4)&amp;", ","")&amp;IF($Y69=1,RIGHT(Y$3,4)&amp;", ","")&amp;IF($Z69=1, RIGHT(Z$3,4)&amp;", ", "")&amp;IF($AA69=1, RIGHT(AA$3,4)&amp;", ", "")&amp;IF($AB69=1, RIGHT(AB$3,4)&amp;", ", "")&amp;IF($AC69=1, RIGHT(AC$3,4)&amp;", ", "")&amp;IF($AD69=1, RIGHT(AD$3,4)&amp;", ", "")&amp;IF($AE69=1, RIGHT(AE$3,4)&amp;", ", "")&amp;IF($AF69=1, RIGHT(AF$3,4)&amp;", ", "")</f>
        <v xml:space="preserve">2005, 2006, 2007, 2008, 2009, 2010, 2011, 2012, 2013, 2014, 2015, 2016, 2017, 2018, 2019, </v>
      </c>
    </row>
    <row r="70" spans="1:33" x14ac:dyDescent="0.35">
      <c r="A70" s="4">
        <v>67</v>
      </c>
      <c r="B70" s="5" t="s">
        <v>96</v>
      </c>
      <c r="C70" s="6" t="s">
        <v>291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26">
        <v>0</v>
      </c>
      <c r="K70" s="21">
        <v>1</v>
      </c>
      <c r="L70" s="18">
        <v>0</v>
      </c>
      <c r="M70" s="26">
        <v>0</v>
      </c>
      <c r="N70" s="18">
        <v>0</v>
      </c>
      <c r="O70" s="18">
        <v>0</v>
      </c>
      <c r="P70" s="18">
        <v>0</v>
      </c>
      <c r="Q70" s="26">
        <v>0</v>
      </c>
      <c r="R70" s="18">
        <v>0</v>
      </c>
      <c r="S70" s="18">
        <v>0</v>
      </c>
      <c r="T70" s="18">
        <v>0</v>
      </c>
      <c r="U70" s="26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47">
        <v>0</v>
      </c>
      <c r="AB70" s="18">
        <v>0</v>
      </c>
      <c r="AC70" s="50"/>
      <c r="AD70" s="50"/>
      <c r="AE70" s="50"/>
      <c r="AF70" s="50"/>
      <c r="AG70" t="str">
        <f t="shared" si="1"/>
        <v xml:space="preserve">2003, </v>
      </c>
    </row>
    <row r="71" spans="1:33" x14ac:dyDescent="0.35">
      <c r="A71" s="4">
        <v>68</v>
      </c>
      <c r="B71" s="27" t="s">
        <v>97</v>
      </c>
      <c r="C71" s="8" t="s">
        <v>292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26">
        <v>0</v>
      </c>
      <c r="R71" s="18">
        <v>0</v>
      </c>
      <c r="S71" s="18">
        <v>0</v>
      </c>
      <c r="T71" s="26">
        <v>0</v>
      </c>
      <c r="U71" s="18">
        <v>0</v>
      </c>
      <c r="V71" s="18">
        <v>0</v>
      </c>
      <c r="W71" s="18">
        <v>0</v>
      </c>
      <c r="X71" s="26">
        <v>0</v>
      </c>
      <c r="Y71" s="18">
        <v>0</v>
      </c>
      <c r="Z71" s="18">
        <v>0</v>
      </c>
      <c r="AA71" s="45">
        <v>0</v>
      </c>
      <c r="AB71" s="18">
        <v>0</v>
      </c>
      <c r="AC71" s="50"/>
      <c r="AD71" s="50"/>
      <c r="AE71" s="50"/>
      <c r="AF71" s="50"/>
      <c r="AG71" t="str">
        <f t="shared" si="1"/>
        <v/>
      </c>
    </row>
    <row r="72" spans="1:33" x14ac:dyDescent="0.35">
      <c r="A72" s="4">
        <v>69</v>
      </c>
      <c r="B72" s="7" t="s">
        <v>98</v>
      </c>
      <c r="C72" s="8" t="s">
        <v>293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26">
        <v>0</v>
      </c>
      <c r="M72" s="18">
        <v>0</v>
      </c>
      <c r="N72" s="26">
        <v>0</v>
      </c>
      <c r="O72" s="18">
        <v>0</v>
      </c>
      <c r="P72" s="18">
        <v>0</v>
      </c>
      <c r="Q72" s="26">
        <v>0</v>
      </c>
      <c r="R72" s="18">
        <v>0</v>
      </c>
      <c r="S72" s="18">
        <v>0</v>
      </c>
      <c r="T72" s="18">
        <v>0</v>
      </c>
      <c r="U72" s="18">
        <v>0</v>
      </c>
      <c r="V72" s="26">
        <v>0</v>
      </c>
      <c r="W72" s="18">
        <v>0</v>
      </c>
      <c r="X72" s="18">
        <v>0</v>
      </c>
      <c r="Y72" s="18">
        <v>0</v>
      </c>
      <c r="Z72" s="18">
        <v>0</v>
      </c>
      <c r="AA72" s="45">
        <v>0</v>
      </c>
      <c r="AB72" s="18">
        <v>0</v>
      </c>
      <c r="AC72" s="50"/>
      <c r="AD72" s="50"/>
      <c r="AE72" s="50"/>
      <c r="AF72" s="50"/>
      <c r="AG72" t="str">
        <f t="shared" si="1"/>
        <v/>
      </c>
    </row>
    <row r="73" spans="1:33" x14ac:dyDescent="0.35">
      <c r="A73" s="4">
        <v>70</v>
      </c>
      <c r="B73" s="5" t="s">
        <v>99</v>
      </c>
      <c r="C73" s="6" t="s">
        <v>294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26">
        <v>0</v>
      </c>
      <c r="R73" s="18">
        <v>0</v>
      </c>
      <c r="S73" s="26">
        <v>0</v>
      </c>
      <c r="T73" s="18">
        <v>0</v>
      </c>
      <c r="U73" s="18">
        <v>0</v>
      </c>
      <c r="V73" s="18">
        <v>0</v>
      </c>
      <c r="W73" s="18">
        <v>0</v>
      </c>
      <c r="X73" s="26">
        <v>0</v>
      </c>
      <c r="Y73" s="18">
        <v>0</v>
      </c>
      <c r="Z73" s="18">
        <v>0</v>
      </c>
      <c r="AA73" s="45">
        <v>0</v>
      </c>
      <c r="AB73" s="18">
        <v>0</v>
      </c>
      <c r="AC73" s="50"/>
      <c r="AD73" s="50"/>
      <c r="AE73" s="50"/>
      <c r="AF73" s="50"/>
      <c r="AG73" t="str">
        <f t="shared" si="1"/>
        <v/>
      </c>
    </row>
    <row r="74" spans="1:33" x14ac:dyDescent="0.35">
      <c r="A74" s="4">
        <v>71</v>
      </c>
      <c r="B74" s="5" t="s">
        <v>100</v>
      </c>
      <c r="C74" s="6" t="s">
        <v>295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26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26">
        <v>0</v>
      </c>
      <c r="Z74" s="18">
        <v>0</v>
      </c>
      <c r="AA74" s="45">
        <v>0</v>
      </c>
      <c r="AB74" s="18">
        <v>0</v>
      </c>
      <c r="AC74" s="50"/>
      <c r="AD74" s="50"/>
      <c r="AE74" s="50"/>
      <c r="AF74" s="50"/>
      <c r="AG74" t="str">
        <f t="shared" si="1"/>
        <v/>
      </c>
    </row>
    <row r="75" spans="1:33" x14ac:dyDescent="0.35">
      <c r="A75" s="4">
        <v>72</v>
      </c>
      <c r="B75" s="5" t="s">
        <v>101</v>
      </c>
      <c r="C75" s="6" t="s">
        <v>296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45">
        <v>0</v>
      </c>
      <c r="AB75" s="18">
        <v>0</v>
      </c>
      <c r="AC75" s="50"/>
      <c r="AD75" s="50"/>
      <c r="AE75" s="50"/>
      <c r="AF75" s="50"/>
      <c r="AG75" t="str">
        <f t="shared" si="1"/>
        <v/>
      </c>
    </row>
    <row r="76" spans="1:33" s="24" customFormat="1" x14ac:dyDescent="0.35">
      <c r="A76" s="4">
        <v>73</v>
      </c>
      <c r="B76" s="13" t="s">
        <v>102</v>
      </c>
      <c r="C76" s="14" t="s">
        <v>297</v>
      </c>
      <c r="D76" s="25">
        <v>0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36">
        <v>1</v>
      </c>
      <c r="K76" s="25">
        <v>0</v>
      </c>
      <c r="L76" s="25">
        <v>0</v>
      </c>
      <c r="M76" s="36">
        <v>1</v>
      </c>
      <c r="N76" s="25">
        <v>0</v>
      </c>
      <c r="O76" s="25">
        <v>0</v>
      </c>
      <c r="P76" s="25">
        <v>0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>
        <v>1</v>
      </c>
      <c r="X76" s="20">
        <v>1</v>
      </c>
      <c r="Y76" s="20">
        <v>1</v>
      </c>
      <c r="Z76" s="20">
        <v>1</v>
      </c>
      <c r="AA76" s="46">
        <v>1</v>
      </c>
      <c r="AB76" s="18">
        <v>0</v>
      </c>
      <c r="AC76" s="50"/>
      <c r="AD76" s="50"/>
      <c r="AE76" s="50"/>
      <c r="AF76" s="50"/>
      <c r="AG76" t="str">
        <f t="shared" si="1"/>
        <v xml:space="preserve">2002, 2005, 2009, 2010, 2011, 2012, 2013, 2014, 2015, 2016, 2017, 2018, 2019, </v>
      </c>
    </row>
    <row r="77" spans="1:33" x14ac:dyDescent="0.35">
      <c r="A77" s="4">
        <v>74</v>
      </c>
      <c r="B77" s="5" t="s">
        <v>103</v>
      </c>
      <c r="C77" s="6" t="s">
        <v>298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26">
        <v>0</v>
      </c>
      <c r="R77" s="18">
        <v>0</v>
      </c>
      <c r="S77" s="18">
        <v>0</v>
      </c>
      <c r="T77" s="18">
        <v>0</v>
      </c>
      <c r="U77" s="18">
        <v>0</v>
      </c>
      <c r="V77" s="26">
        <v>0</v>
      </c>
      <c r="W77" s="18">
        <v>0</v>
      </c>
      <c r="X77" s="18">
        <v>0</v>
      </c>
      <c r="Y77" s="18">
        <v>0</v>
      </c>
      <c r="Z77" s="18">
        <v>0</v>
      </c>
      <c r="AA77" s="45">
        <v>0</v>
      </c>
      <c r="AB77" s="18">
        <v>0</v>
      </c>
      <c r="AC77" s="50"/>
      <c r="AD77" s="50"/>
      <c r="AE77" s="50"/>
      <c r="AF77" s="50"/>
      <c r="AG77" t="str">
        <f t="shared" si="1"/>
        <v/>
      </c>
    </row>
    <row r="78" spans="1:33" x14ac:dyDescent="0.35">
      <c r="A78" s="4">
        <v>75</v>
      </c>
      <c r="B78" s="27" t="s">
        <v>104</v>
      </c>
      <c r="C78" s="8" t="s">
        <v>299</v>
      </c>
      <c r="D78" s="18">
        <v>0</v>
      </c>
      <c r="E78" s="18">
        <v>0</v>
      </c>
      <c r="F78" s="11">
        <v>1</v>
      </c>
      <c r="G78" s="18">
        <v>0</v>
      </c>
      <c r="H78" s="18">
        <v>0</v>
      </c>
      <c r="I78" s="18">
        <v>0</v>
      </c>
      <c r="J78" s="18">
        <v>0</v>
      </c>
      <c r="K78" s="11">
        <v>1</v>
      </c>
      <c r="L78" s="18">
        <v>0</v>
      </c>
      <c r="M78" s="11">
        <v>1</v>
      </c>
      <c r="N78" s="18">
        <v>0</v>
      </c>
      <c r="O78" s="20">
        <v>1</v>
      </c>
      <c r="P78" s="18">
        <v>0</v>
      </c>
      <c r="Q78" s="26">
        <v>0</v>
      </c>
      <c r="R78" s="20">
        <v>1</v>
      </c>
      <c r="S78" s="20">
        <v>1</v>
      </c>
      <c r="T78" s="20">
        <v>1</v>
      </c>
      <c r="U78" s="20">
        <v>1</v>
      </c>
      <c r="V78" s="26">
        <v>0</v>
      </c>
      <c r="W78" s="26">
        <v>0</v>
      </c>
      <c r="X78" s="18">
        <v>0</v>
      </c>
      <c r="Y78" s="18">
        <v>0</v>
      </c>
      <c r="Z78" s="18">
        <v>0</v>
      </c>
      <c r="AA78" s="45">
        <v>0</v>
      </c>
      <c r="AB78" s="18">
        <v>0</v>
      </c>
      <c r="AC78" s="50"/>
      <c r="AD78" s="50"/>
      <c r="AE78" s="50"/>
      <c r="AF78" s="50"/>
      <c r="AG78" t="str">
        <f t="shared" si="1"/>
        <v xml:space="preserve">1998, 2003, 2005, 2007, 2010, 2011, 2012, 2013, </v>
      </c>
    </row>
    <row r="79" spans="1:33" x14ac:dyDescent="0.35">
      <c r="A79" s="4">
        <v>76</v>
      </c>
      <c r="B79" s="5" t="s">
        <v>105</v>
      </c>
      <c r="C79" s="6" t="s">
        <v>300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26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26">
        <v>0</v>
      </c>
      <c r="Y79" s="20">
        <v>1</v>
      </c>
      <c r="Z79" s="18">
        <v>0</v>
      </c>
      <c r="AA79" s="45">
        <v>0</v>
      </c>
      <c r="AB79" s="18">
        <v>0</v>
      </c>
      <c r="AC79" s="50"/>
      <c r="AD79" s="50"/>
      <c r="AE79" s="50"/>
      <c r="AF79" s="50"/>
      <c r="AG79" t="str">
        <f t="shared" si="1"/>
        <v xml:space="preserve">2017, </v>
      </c>
    </row>
    <row r="80" spans="1:33" x14ac:dyDescent="0.35">
      <c r="A80" s="4">
        <v>77</v>
      </c>
      <c r="B80" s="5" t="s">
        <v>106</v>
      </c>
      <c r="C80" s="6" t="s">
        <v>301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36">
        <v>1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36">
        <v>1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45">
        <v>0</v>
      </c>
      <c r="AB80" s="18">
        <v>0</v>
      </c>
      <c r="AC80" s="50"/>
      <c r="AD80" s="50"/>
      <c r="AE80" s="50"/>
      <c r="AF80" s="50"/>
      <c r="AG80" t="str">
        <f t="shared" si="1"/>
        <v xml:space="preserve">2007, 2013, </v>
      </c>
    </row>
    <row r="81" spans="1:33" x14ac:dyDescent="0.35">
      <c r="A81" s="4">
        <v>78</v>
      </c>
      <c r="B81" s="5" t="s">
        <v>107</v>
      </c>
      <c r="C81" s="6" t="s">
        <v>302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36">
        <v>1</v>
      </c>
      <c r="O81" s="36">
        <v>1</v>
      </c>
      <c r="P81" s="18">
        <v>0</v>
      </c>
      <c r="Q81" s="18">
        <v>0</v>
      </c>
      <c r="R81" s="26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26">
        <v>0</v>
      </c>
      <c r="Y81" s="18">
        <v>0</v>
      </c>
      <c r="Z81" s="18">
        <v>0</v>
      </c>
      <c r="AA81" s="45">
        <v>0</v>
      </c>
      <c r="AB81" s="18">
        <v>0</v>
      </c>
      <c r="AC81" s="50"/>
      <c r="AD81" s="50"/>
      <c r="AE81" s="50"/>
      <c r="AF81" s="50"/>
      <c r="AG81" t="str">
        <f t="shared" si="1"/>
        <v xml:space="preserve">2006, 2007, </v>
      </c>
    </row>
    <row r="82" spans="1:33" x14ac:dyDescent="0.35">
      <c r="A82" s="4">
        <v>79</v>
      </c>
      <c r="B82" s="27" t="s">
        <v>108</v>
      </c>
      <c r="C82" s="8" t="s">
        <v>303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45">
        <v>0</v>
      </c>
      <c r="AB82" s="18">
        <v>0</v>
      </c>
      <c r="AC82" s="50"/>
      <c r="AD82" s="50"/>
      <c r="AE82" s="50"/>
      <c r="AF82" s="50"/>
      <c r="AG82" t="str">
        <f t="shared" si="1"/>
        <v/>
      </c>
    </row>
    <row r="83" spans="1:33" x14ac:dyDescent="0.35">
      <c r="A83" s="4">
        <v>80</v>
      </c>
      <c r="B83" s="7" t="s">
        <v>109</v>
      </c>
      <c r="C83" s="8" t="s">
        <v>304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26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26">
        <v>0</v>
      </c>
      <c r="X83" s="18">
        <v>0</v>
      </c>
      <c r="Y83" s="18">
        <v>0</v>
      </c>
      <c r="Z83" s="18">
        <v>0</v>
      </c>
      <c r="AA83" s="45">
        <v>0</v>
      </c>
      <c r="AB83" s="18">
        <v>0</v>
      </c>
      <c r="AC83" s="50"/>
      <c r="AD83" s="50"/>
      <c r="AE83" s="50"/>
      <c r="AF83" s="50"/>
      <c r="AG83" t="str">
        <f t="shared" si="1"/>
        <v/>
      </c>
    </row>
    <row r="84" spans="1:33" x14ac:dyDescent="0.35">
      <c r="A84" s="4">
        <v>81</v>
      </c>
      <c r="B84" s="5" t="s">
        <v>110</v>
      </c>
      <c r="C84" s="6" t="s">
        <v>305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26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45">
        <v>0</v>
      </c>
      <c r="AB84" s="18">
        <v>0</v>
      </c>
      <c r="AC84" s="50"/>
      <c r="AD84" s="50"/>
      <c r="AE84" s="50"/>
      <c r="AF84" s="50"/>
      <c r="AG84" t="str">
        <f t="shared" si="1"/>
        <v/>
      </c>
    </row>
    <row r="85" spans="1:33" x14ac:dyDescent="0.35">
      <c r="A85" s="4">
        <v>82</v>
      </c>
      <c r="B85" s="5" t="s">
        <v>111</v>
      </c>
      <c r="C85" s="6" t="s">
        <v>306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26">
        <v>0</v>
      </c>
      <c r="O85" s="18">
        <v>0</v>
      </c>
      <c r="P85" s="18">
        <v>0</v>
      </c>
      <c r="Q85" s="26">
        <v>0</v>
      </c>
      <c r="R85" s="18">
        <v>0</v>
      </c>
      <c r="S85" s="26">
        <v>0</v>
      </c>
      <c r="T85" s="26">
        <v>0</v>
      </c>
      <c r="U85" s="18">
        <v>0</v>
      </c>
      <c r="V85" s="18">
        <v>0</v>
      </c>
      <c r="W85" s="18">
        <v>0</v>
      </c>
      <c r="X85" s="20">
        <v>1</v>
      </c>
      <c r="Y85" s="20">
        <v>1</v>
      </c>
      <c r="Z85" s="20">
        <v>1</v>
      </c>
      <c r="AA85" s="46">
        <v>1</v>
      </c>
      <c r="AB85" s="18">
        <v>0</v>
      </c>
      <c r="AC85" s="50"/>
      <c r="AD85" s="50"/>
      <c r="AE85" s="50"/>
      <c r="AF85" s="50"/>
      <c r="AG85" t="str">
        <f t="shared" si="1"/>
        <v xml:space="preserve">2016, 2017, 2018, 2019, </v>
      </c>
    </row>
    <row r="86" spans="1:33" x14ac:dyDescent="0.35">
      <c r="A86" s="4">
        <v>83</v>
      </c>
      <c r="B86" s="5" t="s">
        <v>112</v>
      </c>
      <c r="C86" s="6" t="s">
        <v>307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26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45">
        <v>0</v>
      </c>
      <c r="AB86" s="18">
        <v>0</v>
      </c>
      <c r="AC86" s="50"/>
      <c r="AD86" s="50"/>
      <c r="AE86" s="50"/>
      <c r="AF86" s="50"/>
      <c r="AG86" t="str">
        <f t="shared" si="1"/>
        <v/>
      </c>
    </row>
    <row r="87" spans="1:33" x14ac:dyDescent="0.35">
      <c r="A87" s="4">
        <v>84</v>
      </c>
      <c r="B87" s="5" t="s">
        <v>113</v>
      </c>
      <c r="C87" s="6" t="s">
        <v>308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26">
        <v>0</v>
      </c>
      <c r="N87" s="18">
        <v>0</v>
      </c>
      <c r="O87" s="18">
        <v>0</v>
      </c>
      <c r="P87" s="20">
        <v>1</v>
      </c>
      <c r="Q87" s="20">
        <v>1</v>
      </c>
      <c r="R87" s="20">
        <v>1</v>
      </c>
      <c r="S87" s="20">
        <v>1</v>
      </c>
      <c r="T87" s="20">
        <v>1</v>
      </c>
      <c r="U87" s="20">
        <v>1</v>
      </c>
      <c r="V87" s="20">
        <v>1</v>
      </c>
      <c r="W87" s="20">
        <v>1</v>
      </c>
      <c r="X87" s="20">
        <v>1</v>
      </c>
      <c r="Y87" s="20">
        <v>1</v>
      </c>
      <c r="Z87" s="20">
        <v>1</v>
      </c>
      <c r="AA87" s="46">
        <v>1</v>
      </c>
      <c r="AB87" s="20">
        <v>1</v>
      </c>
      <c r="AC87" s="51"/>
      <c r="AD87" s="51"/>
      <c r="AE87" s="51"/>
      <c r="AF87" s="51"/>
      <c r="AG87" t="str">
        <f t="shared" si="1"/>
        <v xml:space="preserve">2008, 2009, 2010, 2011, 2012, 2013, 2014, 2015, 2016, 2017, 2018, 2019, 2020, </v>
      </c>
    </row>
    <row r="88" spans="1:33" x14ac:dyDescent="0.35">
      <c r="A88" s="4">
        <v>85</v>
      </c>
      <c r="B88" s="5" t="s">
        <v>114</v>
      </c>
      <c r="C88" s="6" t="s">
        <v>309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26">
        <v>0</v>
      </c>
      <c r="R88" s="18">
        <v>0</v>
      </c>
      <c r="S88" s="18">
        <v>0</v>
      </c>
      <c r="T88" s="18">
        <v>0</v>
      </c>
      <c r="U88" s="26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45">
        <v>0</v>
      </c>
      <c r="AB88" s="18">
        <v>0</v>
      </c>
      <c r="AC88" s="50"/>
      <c r="AD88" s="50"/>
      <c r="AE88" s="50"/>
      <c r="AF88" s="50"/>
      <c r="AG88" t="str">
        <f t="shared" si="1"/>
        <v/>
      </c>
    </row>
    <row r="89" spans="1:33" x14ac:dyDescent="0.35">
      <c r="A89" s="4">
        <v>86</v>
      </c>
      <c r="B89" s="5" t="s">
        <v>115</v>
      </c>
      <c r="C89" s="6" t="s">
        <v>310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26">
        <v>0</v>
      </c>
      <c r="R89" s="18">
        <v>0</v>
      </c>
      <c r="S89" s="18">
        <v>0</v>
      </c>
      <c r="T89" s="18">
        <v>0</v>
      </c>
      <c r="U89" s="26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45">
        <v>0</v>
      </c>
      <c r="AB89" s="18">
        <v>0</v>
      </c>
      <c r="AC89" s="50"/>
      <c r="AD89" s="50"/>
      <c r="AE89" s="50"/>
      <c r="AF89" s="50"/>
      <c r="AG89" t="str">
        <f t="shared" si="1"/>
        <v/>
      </c>
    </row>
    <row r="90" spans="1:33" x14ac:dyDescent="0.35">
      <c r="A90" s="4">
        <v>87</v>
      </c>
      <c r="B90" s="7" t="s">
        <v>116</v>
      </c>
      <c r="C90" s="8" t="s">
        <v>311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20">
        <v>1</v>
      </c>
      <c r="N90" s="20">
        <v>1</v>
      </c>
      <c r="O90" s="20">
        <v>1</v>
      </c>
      <c r="P90" s="20">
        <v>1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V90" s="20">
        <v>1</v>
      </c>
      <c r="W90" s="20">
        <v>1</v>
      </c>
      <c r="X90" s="18">
        <v>0</v>
      </c>
      <c r="Y90" s="18">
        <v>0</v>
      </c>
      <c r="Z90" s="18">
        <v>0</v>
      </c>
      <c r="AA90" s="46">
        <v>1</v>
      </c>
      <c r="AB90" s="18">
        <v>0</v>
      </c>
      <c r="AC90" s="50"/>
      <c r="AD90" s="50"/>
      <c r="AE90" s="50"/>
      <c r="AF90" s="50"/>
      <c r="AG90" t="str">
        <f t="shared" si="1"/>
        <v xml:space="preserve">2005, 2006, 2007, 2008, 2009, 2010, 2011, 2012, 2013, 2014, 2015, 2019, </v>
      </c>
    </row>
    <row r="91" spans="1:33" x14ac:dyDescent="0.35">
      <c r="A91" s="4">
        <v>88</v>
      </c>
      <c r="B91" s="5" t="s">
        <v>117</v>
      </c>
      <c r="C91" s="6" t="s">
        <v>312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26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45">
        <v>0</v>
      </c>
      <c r="AB91" s="18">
        <v>0</v>
      </c>
      <c r="AC91" s="50"/>
      <c r="AD91" s="50"/>
      <c r="AE91" s="50"/>
      <c r="AF91" s="50"/>
      <c r="AG91" t="str">
        <f t="shared" si="1"/>
        <v/>
      </c>
    </row>
    <row r="92" spans="1:33" x14ac:dyDescent="0.35">
      <c r="A92" s="4">
        <v>89</v>
      </c>
      <c r="B92" s="5" t="s">
        <v>118</v>
      </c>
      <c r="C92" s="6" t="s">
        <v>313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26">
        <v>0</v>
      </c>
      <c r="W92" s="20">
        <v>1</v>
      </c>
      <c r="X92" s="18">
        <v>0</v>
      </c>
      <c r="Y92" s="20">
        <v>1</v>
      </c>
      <c r="Z92" s="18">
        <v>0</v>
      </c>
      <c r="AA92" s="45">
        <v>0</v>
      </c>
      <c r="AB92" s="18">
        <v>0</v>
      </c>
      <c r="AC92" s="50"/>
      <c r="AD92" s="50"/>
      <c r="AE92" s="50"/>
      <c r="AF92" s="50"/>
      <c r="AG92" t="str">
        <f t="shared" si="1"/>
        <v xml:space="preserve">2015, 2017, </v>
      </c>
    </row>
    <row r="93" spans="1:33" x14ac:dyDescent="0.35">
      <c r="A93" s="4">
        <v>90</v>
      </c>
      <c r="B93" s="5" t="s">
        <v>119</v>
      </c>
      <c r="C93" s="6" t="s">
        <v>314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26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26">
        <v>0</v>
      </c>
      <c r="W93" s="26">
        <v>0</v>
      </c>
      <c r="X93" s="18">
        <v>0</v>
      </c>
      <c r="Y93" s="18">
        <v>0</v>
      </c>
      <c r="Z93" s="18">
        <v>0</v>
      </c>
      <c r="AA93" s="45">
        <v>0</v>
      </c>
      <c r="AB93" s="18">
        <v>0</v>
      </c>
      <c r="AC93" s="50"/>
      <c r="AD93" s="50"/>
      <c r="AE93" s="50"/>
      <c r="AF93" s="50"/>
      <c r="AG93" t="str">
        <f t="shared" si="1"/>
        <v/>
      </c>
    </row>
    <row r="94" spans="1:33" x14ac:dyDescent="0.35">
      <c r="A94" s="4">
        <v>91</v>
      </c>
      <c r="B94" s="5" t="s">
        <v>120</v>
      </c>
      <c r="C94" s="6" t="s">
        <v>315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45">
        <v>0</v>
      </c>
      <c r="AB94" s="18">
        <v>0</v>
      </c>
      <c r="AC94" s="50"/>
      <c r="AD94" s="50"/>
      <c r="AE94" s="50"/>
      <c r="AF94" s="50"/>
      <c r="AG94" t="str">
        <f t="shared" si="1"/>
        <v/>
      </c>
    </row>
    <row r="95" spans="1:33" x14ac:dyDescent="0.35">
      <c r="A95" s="4">
        <v>92</v>
      </c>
      <c r="B95" s="5" t="s">
        <v>121</v>
      </c>
      <c r="C95" s="6" t="s">
        <v>316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0">
        <v>1</v>
      </c>
      <c r="Q95" s="26">
        <v>0</v>
      </c>
      <c r="R95" s="26">
        <v>0</v>
      </c>
      <c r="S95" s="18">
        <v>0</v>
      </c>
      <c r="T95" s="18">
        <v>0</v>
      </c>
      <c r="U95" s="26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45">
        <v>0</v>
      </c>
      <c r="AB95" s="18">
        <v>0</v>
      </c>
      <c r="AC95" s="50"/>
      <c r="AD95" s="50"/>
      <c r="AE95" s="50"/>
      <c r="AF95" s="50"/>
      <c r="AG95" t="str">
        <f t="shared" si="1"/>
        <v xml:space="preserve">2008, </v>
      </c>
    </row>
    <row r="96" spans="1:33" x14ac:dyDescent="0.35">
      <c r="A96" s="4">
        <v>93</v>
      </c>
      <c r="B96" s="5" t="s">
        <v>122</v>
      </c>
      <c r="C96" s="6" t="s">
        <v>317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26">
        <v>0</v>
      </c>
      <c r="O96" s="18">
        <v>0</v>
      </c>
      <c r="P96" s="18">
        <v>0</v>
      </c>
      <c r="Q96" s="18">
        <v>0</v>
      </c>
      <c r="R96" s="18">
        <v>0</v>
      </c>
      <c r="S96" s="26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26">
        <v>0</v>
      </c>
      <c r="Z96" s="18">
        <v>0</v>
      </c>
      <c r="AA96" s="45">
        <v>0</v>
      </c>
      <c r="AB96" s="18">
        <v>0</v>
      </c>
      <c r="AC96" s="50"/>
      <c r="AD96" s="50"/>
      <c r="AE96" s="50"/>
      <c r="AF96" s="50"/>
      <c r="AG96" t="str">
        <f t="shared" si="1"/>
        <v/>
      </c>
    </row>
    <row r="97" spans="1:33" x14ac:dyDescent="0.35">
      <c r="A97" s="4">
        <v>94</v>
      </c>
      <c r="B97" s="5" t="s">
        <v>123</v>
      </c>
      <c r="C97" s="6" t="s">
        <v>318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26">
        <v>0</v>
      </c>
      <c r="N97" s="18">
        <v>0</v>
      </c>
      <c r="O97" s="18">
        <v>0</v>
      </c>
      <c r="P97" s="18">
        <v>0</v>
      </c>
      <c r="Q97" s="26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26">
        <v>0</v>
      </c>
      <c r="Z97" s="18">
        <v>0</v>
      </c>
      <c r="AA97" s="45">
        <v>0</v>
      </c>
      <c r="AB97" s="18">
        <v>0</v>
      </c>
      <c r="AC97" s="50"/>
      <c r="AD97" s="50"/>
      <c r="AE97" s="50"/>
      <c r="AF97" s="50"/>
      <c r="AG97" t="str">
        <f t="shared" si="1"/>
        <v/>
      </c>
    </row>
    <row r="98" spans="1:33" x14ac:dyDescent="0.35">
      <c r="A98" s="4">
        <v>95</v>
      </c>
      <c r="B98" s="5" t="s">
        <v>124</v>
      </c>
      <c r="C98" s="6" t="s">
        <v>319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26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26">
        <v>0</v>
      </c>
      <c r="X98" s="26">
        <v>0</v>
      </c>
      <c r="Y98" s="18">
        <v>0</v>
      </c>
      <c r="Z98" s="18">
        <v>0</v>
      </c>
      <c r="AA98" s="45">
        <v>0</v>
      </c>
      <c r="AB98" s="18">
        <v>0</v>
      </c>
      <c r="AC98" s="50"/>
      <c r="AD98" s="50"/>
      <c r="AE98" s="50"/>
      <c r="AF98" s="50"/>
      <c r="AG98" t="str">
        <f t="shared" si="1"/>
        <v/>
      </c>
    </row>
    <row r="99" spans="1:33" x14ac:dyDescent="0.35">
      <c r="A99" s="4">
        <v>96</v>
      </c>
      <c r="B99" s="5" t="s">
        <v>125</v>
      </c>
      <c r="C99" s="6" t="s">
        <v>320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26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26">
        <v>0</v>
      </c>
      <c r="W99" s="18">
        <v>0</v>
      </c>
      <c r="X99" s="18">
        <v>0</v>
      </c>
      <c r="Y99" s="18">
        <v>0</v>
      </c>
      <c r="Z99" s="18">
        <v>0</v>
      </c>
      <c r="AA99" s="45">
        <v>0</v>
      </c>
      <c r="AB99" s="18">
        <v>0</v>
      </c>
      <c r="AC99" s="50"/>
      <c r="AD99" s="50"/>
      <c r="AE99" s="50"/>
      <c r="AF99" s="50"/>
      <c r="AG99" t="str">
        <f t="shared" si="1"/>
        <v/>
      </c>
    </row>
    <row r="100" spans="1:33" x14ac:dyDescent="0.35">
      <c r="A100" s="4">
        <v>97</v>
      </c>
      <c r="B100" s="5" t="s">
        <v>126</v>
      </c>
      <c r="C100" s="6" t="s">
        <v>321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45">
        <v>0</v>
      </c>
      <c r="AB100" s="18">
        <v>0</v>
      </c>
      <c r="AC100" s="50"/>
      <c r="AD100" s="50"/>
      <c r="AE100" s="50"/>
      <c r="AF100" s="50"/>
      <c r="AG100" t="str">
        <f t="shared" si="1"/>
        <v/>
      </c>
    </row>
    <row r="101" spans="1:33" x14ac:dyDescent="0.35">
      <c r="A101" s="4">
        <v>98</v>
      </c>
      <c r="B101" s="5" t="s">
        <v>127</v>
      </c>
      <c r="C101" s="6" t="s">
        <v>322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26">
        <v>0</v>
      </c>
      <c r="O101" s="18">
        <v>0</v>
      </c>
      <c r="P101" s="18">
        <v>0</v>
      </c>
      <c r="Q101" s="18">
        <v>0</v>
      </c>
      <c r="R101" s="18">
        <v>0</v>
      </c>
      <c r="S101" s="26">
        <v>0</v>
      </c>
      <c r="T101" s="18">
        <v>0</v>
      </c>
      <c r="U101" s="18">
        <v>0</v>
      </c>
      <c r="V101" s="18">
        <v>0</v>
      </c>
      <c r="W101" s="18">
        <v>0</v>
      </c>
      <c r="X101" s="20">
        <v>1</v>
      </c>
      <c r="Y101" s="20">
        <v>1</v>
      </c>
      <c r="Z101" s="20">
        <v>1</v>
      </c>
      <c r="AA101" s="46">
        <v>1</v>
      </c>
      <c r="AB101" s="18">
        <v>0</v>
      </c>
      <c r="AC101" s="50"/>
      <c r="AD101" s="50"/>
      <c r="AE101" s="50"/>
      <c r="AF101" s="50"/>
      <c r="AG101" t="str">
        <f t="shared" si="1"/>
        <v xml:space="preserve">2016, 2017, 2018, 2019, </v>
      </c>
    </row>
    <row r="102" spans="1:33" x14ac:dyDescent="0.35">
      <c r="A102" s="4">
        <v>99</v>
      </c>
      <c r="B102" s="7" t="s">
        <v>128</v>
      </c>
      <c r="C102" s="8" t="s">
        <v>323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26"/>
      <c r="Y102" s="18">
        <v>0</v>
      </c>
      <c r="Z102" s="18">
        <v>0</v>
      </c>
      <c r="AA102" s="45">
        <v>0</v>
      </c>
      <c r="AB102" s="18">
        <v>0</v>
      </c>
      <c r="AC102" s="50"/>
      <c r="AD102" s="50"/>
      <c r="AE102" s="50"/>
      <c r="AF102" s="50"/>
      <c r="AG102" t="str">
        <f t="shared" si="1"/>
        <v/>
      </c>
    </row>
    <row r="103" spans="1:33" x14ac:dyDescent="0.35">
      <c r="A103" s="4">
        <v>100</v>
      </c>
      <c r="B103" s="5" t="s">
        <v>129</v>
      </c>
      <c r="C103" s="6" t="s">
        <v>324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26">
        <v>0</v>
      </c>
      <c r="O103" s="18">
        <v>0</v>
      </c>
      <c r="P103" s="18">
        <v>0</v>
      </c>
      <c r="Q103" s="18">
        <v>0</v>
      </c>
      <c r="R103" s="18">
        <v>0</v>
      </c>
      <c r="S103" s="26">
        <v>0</v>
      </c>
      <c r="T103" s="18">
        <v>0</v>
      </c>
      <c r="U103" s="18">
        <v>0</v>
      </c>
      <c r="V103" s="18">
        <v>0</v>
      </c>
      <c r="W103" s="20">
        <v>1</v>
      </c>
      <c r="X103" s="20">
        <v>1</v>
      </c>
      <c r="Y103" s="26">
        <v>0</v>
      </c>
      <c r="Z103" s="18">
        <v>0</v>
      </c>
      <c r="AA103" s="45">
        <v>0</v>
      </c>
      <c r="AB103" s="18">
        <v>0</v>
      </c>
      <c r="AC103" s="50"/>
      <c r="AD103" s="50"/>
      <c r="AE103" s="50"/>
      <c r="AF103" s="50"/>
      <c r="AG103" t="str">
        <f t="shared" si="1"/>
        <v xml:space="preserve">2015, 2016, </v>
      </c>
    </row>
    <row r="104" spans="1:33" x14ac:dyDescent="0.35">
      <c r="A104" s="4">
        <v>101</v>
      </c>
      <c r="B104" s="5" t="s">
        <v>130</v>
      </c>
      <c r="C104" s="6" t="s">
        <v>325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20">
        <v>1</v>
      </c>
      <c r="J104" s="18">
        <v>0</v>
      </c>
      <c r="K104" s="18">
        <v>0</v>
      </c>
      <c r="L104" s="20">
        <v>1</v>
      </c>
      <c r="M104" s="18">
        <v>0</v>
      </c>
      <c r="N104" s="20">
        <v>1</v>
      </c>
      <c r="O104" s="18">
        <v>0</v>
      </c>
      <c r="P104" s="18">
        <v>0</v>
      </c>
      <c r="Q104" s="18">
        <v>0</v>
      </c>
      <c r="R104" s="20">
        <v>1</v>
      </c>
      <c r="S104" s="20">
        <v>1</v>
      </c>
      <c r="T104" s="20">
        <v>1</v>
      </c>
      <c r="U104" s="20">
        <v>1</v>
      </c>
      <c r="V104" s="20">
        <v>1</v>
      </c>
      <c r="W104" s="20">
        <v>1</v>
      </c>
      <c r="X104" s="20">
        <v>1</v>
      </c>
      <c r="Y104" s="20">
        <v>1</v>
      </c>
      <c r="Z104" s="20">
        <v>1</v>
      </c>
      <c r="AA104" s="45">
        <v>0</v>
      </c>
      <c r="AB104" s="18">
        <v>0</v>
      </c>
      <c r="AC104" s="50"/>
      <c r="AD104" s="50"/>
      <c r="AE104" s="50"/>
      <c r="AF104" s="50"/>
      <c r="AG104" t="str">
        <f t="shared" si="1"/>
        <v xml:space="preserve">2001, 2004, 2006, 2010, 2011, 2012, 2013, 2014, 2015, 2016, 2017, 2018, </v>
      </c>
    </row>
    <row r="105" spans="1:33" x14ac:dyDescent="0.35">
      <c r="A105" s="4">
        <v>102</v>
      </c>
      <c r="B105" s="5" t="s">
        <v>131</v>
      </c>
      <c r="C105" s="6" t="s">
        <v>326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20">
        <v>1</v>
      </c>
      <c r="N105" s="18">
        <v>0</v>
      </c>
      <c r="O105" s="18">
        <v>0</v>
      </c>
      <c r="P105" s="20">
        <v>1</v>
      </c>
      <c r="Q105" s="26">
        <v>0</v>
      </c>
      <c r="R105" s="26">
        <v>0</v>
      </c>
      <c r="S105" s="18">
        <v>0</v>
      </c>
      <c r="T105" s="18">
        <v>0</v>
      </c>
      <c r="U105" s="26">
        <v>0</v>
      </c>
      <c r="V105" s="21">
        <v>1</v>
      </c>
      <c r="W105" s="20">
        <v>1</v>
      </c>
      <c r="X105" s="21">
        <v>1</v>
      </c>
      <c r="Y105" s="20">
        <v>1</v>
      </c>
      <c r="Z105" s="20">
        <v>1</v>
      </c>
      <c r="AA105" s="45">
        <v>0</v>
      </c>
      <c r="AB105" s="18">
        <v>0</v>
      </c>
      <c r="AC105" s="50"/>
      <c r="AD105" s="50">
        <v>1</v>
      </c>
      <c r="AE105" s="50"/>
      <c r="AF105" s="50"/>
      <c r="AG105" t="str">
        <f t="shared" si="1"/>
        <v xml:space="preserve">2005, 2008, 2014, 2015, 2016, 2017, 2018, 2022, </v>
      </c>
    </row>
    <row r="106" spans="1:33" x14ac:dyDescent="0.35">
      <c r="A106" s="4">
        <v>103</v>
      </c>
      <c r="B106" s="5" t="s">
        <v>132</v>
      </c>
      <c r="C106" s="6" t="s">
        <v>327</v>
      </c>
      <c r="D106" s="11">
        <v>1</v>
      </c>
      <c r="E106" s="11">
        <v>1</v>
      </c>
      <c r="F106" s="11">
        <v>1</v>
      </c>
      <c r="G106" s="11">
        <v>1</v>
      </c>
      <c r="H106" s="11">
        <v>1</v>
      </c>
      <c r="I106" s="11">
        <v>1</v>
      </c>
      <c r="J106" s="11">
        <v>1</v>
      </c>
      <c r="K106" s="11">
        <v>1</v>
      </c>
      <c r="L106" s="11">
        <v>1</v>
      </c>
      <c r="M106" s="11">
        <v>1</v>
      </c>
      <c r="N106" s="11">
        <v>1</v>
      </c>
      <c r="O106" s="11">
        <v>1</v>
      </c>
      <c r="P106" s="11">
        <v>1</v>
      </c>
      <c r="Q106" s="11">
        <v>1</v>
      </c>
      <c r="R106" s="11">
        <v>1</v>
      </c>
      <c r="S106" s="11">
        <v>1</v>
      </c>
      <c r="T106" s="11">
        <v>1</v>
      </c>
      <c r="U106" s="11">
        <v>1</v>
      </c>
      <c r="V106" s="11">
        <v>1</v>
      </c>
      <c r="W106" s="11">
        <v>1</v>
      </c>
      <c r="X106" s="11">
        <v>1</v>
      </c>
      <c r="Y106" s="11">
        <v>1</v>
      </c>
      <c r="Z106" s="11">
        <v>1</v>
      </c>
      <c r="AA106" s="45">
        <v>0</v>
      </c>
      <c r="AB106" s="18">
        <v>0</v>
      </c>
      <c r="AC106" s="50"/>
      <c r="AD106" s="50"/>
      <c r="AE106" s="50"/>
      <c r="AF106" s="50"/>
      <c r="AG106" t="str">
        <f t="shared" si="1"/>
        <v xml:space="preserve">1996, 1997, 1998, 1999, 2000, 2001, 2002, 2003, 2004, 2005, 2006, 2007, 2008, 2009, 2010, 2011, 2012, 2013, 2014, 2015, 2016, 2017, 2018, </v>
      </c>
    </row>
    <row r="107" spans="1:33" x14ac:dyDescent="0.35">
      <c r="A107" s="4">
        <v>104</v>
      </c>
      <c r="B107" s="7" t="s">
        <v>133</v>
      </c>
      <c r="C107" s="8" t="s">
        <v>328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26">
        <v>0</v>
      </c>
      <c r="N107" s="18">
        <v>0</v>
      </c>
      <c r="O107" s="20">
        <v>1</v>
      </c>
      <c r="P107" s="20">
        <v>1</v>
      </c>
      <c r="Q107" s="20">
        <v>1</v>
      </c>
      <c r="R107" s="20">
        <v>1</v>
      </c>
      <c r="S107" s="20">
        <v>1</v>
      </c>
      <c r="T107" s="20">
        <v>1</v>
      </c>
      <c r="U107" s="20">
        <v>1</v>
      </c>
      <c r="V107" s="20">
        <v>1</v>
      </c>
      <c r="W107" s="20">
        <v>1</v>
      </c>
      <c r="X107" s="20">
        <v>1</v>
      </c>
      <c r="Y107" s="20">
        <v>1</v>
      </c>
      <c r="Z107" s="20">
        <v>1</v>
      </c>
      <c r="AA107" s="45">
        <v>0</v>
      </c>
      <c r="AB107" s="18">
        <v>0</v>
      </c>
      <c r="AC107" s="50"/>
      <c r="AD107" s="50"/>
      <c r="AE107" s="50"/>
      <c r="AF107" s="50"/>
      <c r="AG107" t="str">
        <f t="shared" si="1"/>
        <v xml:space="preserve">2007, 2008, 2009, 2010, 2011, 2012, 2013, 2014, 2015, 2016, 2017, 2018, </v>
      </c>
    </row>
    <row r="108" spans="1:33" x14ac:dyDescent="0.35">
      <c r="A108" s="4">
        <v>105</v>
      </c>
      <c r="B108" s="5" t="s">
        <v>134</v>
      </c>
      <c r="C108" s="6" t="s">
        <v>329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26">
        <v>0</v>
      </c>
      <c r="N108" s="18">
        <v>0</v>
      </c>
      <c r="O108" s="18">
        <v>0</v>
      </c>
      <c r="P108" s="18">
        <v>0</v>
      </c>
      <c r="Q108" s="26">
        <v>0</v>
      </c>
      <c r="R108" s="20">
        <v>1</v>
      </c>
      <c r="S108" s="18">
        <v>0</v>
      </c>
      <c r="T108" s="26">
        <v>0</v>
      </c>
      <c r="U108" s="18">
        <v>0</v>
      </c>
      <c r="V108" s="18">
        <v>0</v>
      </c>
      <c r="W108" s="20">
        <v>1</v>
      </c>
      <c r="X108" s="18">
        <v>0</v>
      </c>
      <c r="Y108" s="18">
        <v>0</v>
      </c>
      <c r="Z108" s="18">
        <v>0</v>
      </c>
      <c r="AA108" s="45">
        <v>0</v>
      </c>
      <c r="AB108" s="18">
        <v>0</v>
      </c>
      <c r="AC108" s="50"/>
      <c r="AD108" s="50"/>
      <c r="AE108" s="50"/>
      <c r="AF108" s="50"/>
      <c r="AG108" t="str">
        <f t="shared" si="1"/>
        <v xml:space="preserve">2010, 2015, </v>
      </c>
    </row>
    <row r="109" spans="1:33" x14ac:dyDescent="0.35">
      <c r="A109" s="4">
        <v>106</v>
      </c>
      <c r="B109" s="5" t="s">
        <v>135</v>
      </c>
      <c r="C109" s="6" t="s">
        <v>330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26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26">
        <v>0</v>
      </c>
      <c r="U109" s="18">
        <v>0</v>
      </c>
      <c r="V109" s="20">
        <v>1</v>
      </c>
      <c r="W109" s="20">
        <v>1</v>
      </c>
      <c r="X109" s="20">
        <v>1</v>
      </c>
      <c r="Y109" s="20">
        <v>1</v>
      </c>
      <c r="Z109" s="20">
        <v>1</v>
      </c>
      <c r="AA109" s="45">
        <v>0</v>
      </c>
      <c r="AB109" s="18">
        <v>0</v>
      </c>
      <c r="AC109" s="50"/>
      <c r="AD109" s="50"/>
      <c r="AE109" s="50"/>
      <c r="AF109" s="50"/>
      <c r="AG109" t="str">
        <f t="shared" si="1"/>
        <v xml:space="preserve">2014, 2015, 2016, 2017, 2018, </v>
      </c>
    </row>
    <row r="110" spans="1:33" x14ac:dyDescent="0.35">
      <c r="A110" s="4">
        <v>107</v>
      </c>
      <c r="B110" s="5" t="s">
        <v>136</v>
      </c>
      <c r="C110" s="6" t="s">
        <v>331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26">
        <v>0</v>
      </c>
      <c r="R110" s="18">
        <v>0</v>
      </c>
      <c r="S110" s="18">
        <v>0</v>
      </c>
      <c r="T110" s="18">
        <v>0</v>
      </c>
      <c r="U110" s="20">
        <v>1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45">
        <v>0</v>
      </c>
      <c r="AB110" s="18">
        <v>0</v>
      </c>
      <c r="AC110" s="50"/>
      <c r="AD110" s="50"/>
      <c r="AE110" s="50"/>
      <c r="AF110" s="50"/>
      <c r="AG110" t="str">
        <f t="shared" si="1"/>
        <v xml:space="preserve">2013, </v>
      </c>
    </row>
    <row r="111" spans="1:33" x14ac:dyDescent="0.35">
      <c r="A111" s="4">
        <v>108</v>
      </c>
      <c r="B111" s="5" t="s">
        <v>137</v>
      </c>
      <c r="C111" s="8" t="s">
        <v>332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45">
        <v>0</v>
      </c>
      <c r="AB111" s="18">
        <v>0</v>
      </c>
      <c r="AC111" s="50"/>
      <c r="AD111" s="50"/>
      <c r="AE111" s="50"/>
      <c r="AF111" s="50"/>
      <c r="AG111" t="str">
        <f t="shared" si="1"/>
        <v/>
      </c>
    </row>
    <row r="112" spans="1:33" x14ac:dyDescent="0.35">
      <c r="A112" s="4">
        <v>109</v>
      </c>
      <c r="B112" s="5" t="s">
        <v>138</v>
      </c>
      <c r="C112" s="6" t="s">
        <v>333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26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20">
        <v>1</v>
      </c>
      <c r="V112" s="18">
        <v>0</v>
      </c>
      <c r="W112" s="26">
        <v>0</v>
      </c>
      <c r="X112" s="18">
        <v>0</v>
      </c>
      <c r="Y112" s="18">
        <v>0</v>
      </c>
      <c r="Z112" s="18">
        <v>0</v>
      </c>
      <c r="AA112" s="45">
        <v>0</v>
      </c>
      <c r="AB112" s="18">
        <v>0</v>
      </c>
      <c r="AC112" s="50"/>
      <c r="AD112" s="50"/>
      <c r="AE112" s="50"/>
      <c r="AF112" s="50"/>
      <c r="AG112" t="str">
        <f t="shared" si="1"/>
        <v xml:space="preserve">2013, </v>
      </c>
    </row>
    <row r="113" spans="1:33" x14ac:dyDescent="0.35">
      <c r="A113" s="4">
        <v>110</v>
      </c>
      <c r="B113" s="7" t="s">
        <v>139</v>
      </c>
      <c r="C113" s="8" t="s">
        <v>334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26">
        <v>0</v>
      </c>
      <c r="Q113" s="18">
        <v>0</v>
      </c>
      <c r="R113" s="18">
        <v>0</v>
      </c>
      <c r="S113" s="18">
        <v>0</v>
      </c>
      <c r="T113" s="18">
        <v>0</v>
      </c>
      <c r="U113" s="26">
        <v>0</v>
      </c>
      <c r="V113" s="18">
        <v>0</v>
      </c>
      <c r="W113" s="18">
        <v>0</v>
      </c>
      <c r="X113" s="18">
        <v>0</v>
      </c>
      <c r="Y113" s="20">
        <v>1</v>
      </c>
      <c r="Z113" s="20">
        <v>1</v>
      </c>
      <c r="AA113" s="46">
        <v>1</v>
      </c>
      <c r="AB113" s="18">
        <v>0</v>
      </c>
      <c r="AC113" s="50"/>
      <c r="AD113" s="50"/>
      <c r="AE113" s="50"/>
      <c r="AF113" s="50"/>
      <c r="AG113" t="str">
        <f t="shared" si="1"/>
        <v xml:space="preserve">2017, 2018, 2019, </v>
      </c>
    </row>
    <row r="114" spans="1:33" x14ac:dyDescent="0.35">
      <c r="A114" s="4">
        <v>111</v>
      </c>
      <c r="B114" s="5" t="s">
        <v>140</v>
      </c>
      <c r="C114" s="6" t="s">
        <v>335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45">
        <v>0</v>
      </c>
      <c r="AB114" s="18">
        <v>0</v>
      </c>
      <c r="AC114" s="50"/>
      <c r="AD114" s="50"/>
      <c r="AE114" s="50"/>
      <c r="AF114" s="50"/>
      <c r="AG114" t="str">
        <f t="shared" si="1"/>
        <v/>
      </c>
    </row>
    <row r="115" spans="1:33" x14ac:dyDescent="0.35">
      <c r="A115" s="4">
        <v>112</v>
      </c>
      <c r="B115" s="7" t="s">
        <v>141</v>
      </c>
      <c r="C115" s="8" t="s">
        <v>336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26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26">
        <v>0</v>
      </c>
      <c r="Z115" s="18">
        <v>0</v>
      </c>
      <c r="AA115" s="45">
        <v>0</v>
      </c>
      <c r="AB115" s="18">
        <v>0</v>
      </c>
      <c r="AC115" s="50"/>
      <c r="AD115" s="50"/>
      <c r="AE115" s="50"/>
      <c r="AF115" s="50"/>
      <c r="AG115" t="str">
        <f t="shared" si="1"/>
        <v/>
      </c>
    </row>
    <row r="116" spans="1:33" x14ac:dyDescent="0.35">
      <c r="A116" s="4">
        <v>113</v>
      </c>
      <c r="B116" s="27" t="s">
        <v>142</v>
      </c>
      <c r="C116" s="8" t="s">
        <v>337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26">
        <v>0</v>
      </c>
      <c r="Y116" s="18">
        <v>0</v>
      </c>
      <c r="Z116" s="18">
        <v>0</v>
      </c>
      <c r="AA116" s="45">
        <v>0</v>
      </c>
      <c r="AB116" s="18">
        <v>0</v>
      </c>
      <c r="AC116" s="50"/>
      <c r="AD116" s="50"/>
      <c r="AE116" s="50"/>
      <c r="AF116" s="50"/>
      <c r="AG116" t="str">
        <f t="shared" si="1"/>
        <v/>
      </c>
    </row>
    <row r="117" spans="1:33" x14ac:dyDescent="0.35">
      <c r="A117" s="4">
        <v>114</v>
      </c>
      <c r="B117" s="5" t="s">
        <v>143</v>
      </c>
      <c r="C117" s="6" t="s">
        <v>338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45">
        <v>0</v>
      </c>
      <c r="AB117" s="18">
        <v>0</v>
      </c>
      <c r="AC117" s="50"/>
      <c r="AD117" s="50"/>
      <c r="AE117" s="50"/>
      <c r="AF117" s="50"/>
      <c r="AG117" t="str">
        <f t="shared" si="1"/>
        <v/>
      </c>
    </row>
    <row r="118" spans="1:33" x14ac:dyDescent="0.35">
      <c r="A118" s="4">
        <v>115</v>
      </c>
      <c r="B118" s="5" t="s">
        <v>144</v>
      </c>
      <c r="C118" s="6" t="s">
        <v>339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26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45">
        <v>0</v>
      </c>
      <c r="AB118" s="18">
        <v>0</v>
      </c>
      <c r="AC118" s="50"/>
      <c r="AD118" s="50"/>
      <c r="AE118" s="50"/>
      <c r="AF118" s="50"/>
      <c r="AG118" t="str">
        <f t="shared" si="1"/>
        <v/>
      </c>
    </row>
    <row r="119" spans="1:33" x14ac:dyDescent="0.35">
      <c r="A119" s="4">
        <v>116</v>
      </c>
      <c r="B119" s="7" t="s">
        <v>145</v>
      </c>
      <c r="C119" s="8" t="s">
        <v>340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20">
        <v>1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45">
        <v>0</v>
      </c>
      <c r="AB119" s="18">
        <v>0</v>
      </c>
      <c r="AC119" s="50"/>
      <c r="AD119" s="50"/>
      <c r="AE119" s="50"/>
      <c r="AF119" s="50"/>
      <c r="AG119" t="str">
        <f t="shared" si="1"/>
        <v xml:space="preserve">2010, </v>
      </c>
    </row>
    <row r="120" spans="1:33" x14ac:dyDescent="0.35">
      <c r="A120" s="4">
        <v>117</v>
      </c>
      <c r="B120" s="5" t="s">
        <v>146</v>
      </c>
      <c r="C120" s="6" t="s">
        <v>341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26">
        <v>0</v>
      </c>
      <c r="N120" s="26">
        <v>0</v>
      </c>
      <c r="O120" s="20">
        <v>1</v>
      </c>
      <c r="P120" s="20">
        <v>1</v>
      </c>
      <c r="Q120" s="20">
        <v>1</v>
      </c>
      <c r="R120" s="20">
        <v>1</v>
      </c>
      <c r="S120" s="20">
        <v>1</v>
      </c>
      <c r="T120" s="20">
        <v>1</v>
      </c>
      <c r="U120" s="20">
        <v>1</v>
      </c>
      <c r="V120" s="20">
        <v>1</v>
      </c>
      <c r="W120" s="20">
        <v>1</v>
      </c>
      <c r="X120" s="20">
        <v>1</v>
      </c>
      <c r="Y120" s="20">
        <v>1</v>
      </c>
      <c r="Z120" s="20">
        <v>1</v>
      </c>
      <c r="AA120" s="45">
        <v>0</v>
      </c>
      <c r="AB120" s="18">
        <v>0</v>
      </c>
      <c r="AC120" s="50"/>
      <c r="AD120" s="50"/>
      <c r="AE120" s="50"/>
      <c r="AF120" s="50"/>
      <c r="AG120" t="str">
        <f t="shared" si="1"/>
        <v xml:space="preserve">2007, 2008, 2009, 2010, 2011, 2012, 2013, 2014, 2015, 2016, 2017, 2018, </v>
      </c>
    </row>
    <row r="121" spans="1:33" x14ac:dyDescent="0.35">
      <c r="A121" s="4">
        <v>118</v>
      </c>
      <c r="B121" s="7" t="s">
        <v>147</v>
      </c>
      <c r="C121" s="8" t="s">
        <v>342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26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45">
        <v>0</v>
      </c>
      <c r="AB121" s="18">
        <v>0</v>
      </c>
      <c r="AC121" s="50"/>
      <c r="AD121" s="50"/>
      <c r="AE121" s="50"/>
      <c r="AF121" s="50"/>
      <c r="AG121" t="str">
        <f t="shared" si="1"/>
        <v/>
      </c>
    </row>
    <row r="122" spans="1:33" x14ac:dyDescent="0.35">
      <c r="A122" s="4">
        <v>119</v>
      </c>
      <c r="B122" s="7" t="s">
        <v>148</v>
      </c>
      <c r="C122" s="8" t="s">
        <v>343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26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45">
        <v>0</v>
      </c>
      <c r="AB122" s="18">
        <v>0</v>
      </c>
      <c r="AC122" s="50"/>
      <c r="AD122" s="50"/>
      <c r="AE122" s="50"/>
      <c r="AF122" s="50"/>
      <c r="AG122" t="str">
        <f t="shared" si="1"/>
        <v/>
      </c>
    </row>
    <row r="123" spans="1:33" x14ac:dyDescent="0.35">
      <c r="A123" s="4">
        <v>120</v>
      </c>
      <c r="B123" s="18" t="s">
        <v>149</v>
      </c>
      <c r="C123" s="6" t="s">
        <v>344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26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45">
        <v>0</v>
      </c>
      <c r="AB123" s="18">
        <v>0</v>
      </c>
      <c r="AC123" s="50"/>
      <c r="AD123" s="50"/>
      <c r="AE123" s="50"/>
      <c r="AF123" s="50"/>
      <c r="AG123" t="str">
        <f t="shared" si="1"/>
        <v/>
      </c>
    </row>
    <row r="124" spans="1:33" x14ac:dyDescent="0.35">
      <c r="A124" s="4">
        <v>121</v>
      </c>
      <c r="B124" s="5" t="s">
        <v>150</v>
      </c>
      <c r="C124" s="6" t="s">
        <v>345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26">
        <v>0</v>
      </c>
      <c r="W124" s="26">
        <v>0</v>
      </c>
      <c r="X124" s="18">
        <v>0</v>
      </c>
      <c r="Y124" s="18">
        <v>0</v>
      </c>
      <c r="Z124" s="18">
        <v>0</v>
      </c>
      <c r="AA124" s="45">
        <v>0</v>
      </c>
      <c r="AB124" s="18">
        <v>0</v>
      </c>
      <c r="AC124" s="50"/>
      <c r="AD124" s="50"/>
      <c r="AE124" s="50"/>
      <c r="AF124" s="50"/>
      <c r="AG124" t="str">
        <f t="shared" si="1"/>
        <v/>
      </c>
    </row>
    <row r="125" spans="1:33" x14ac:dyDescent="0.35">
      <c r="A125" s="4">
        <v>122</v>
      </c>
      <c r="B125" s="5" t="s">
        <v>151</v>
      </c>
      <c r="C125" s="6" t="s">
        <v>346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26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45">
        <v>0</v>
      </c>
      <c r="AB125" s="18">
        <v>0</v>
      </c>
      <c r="AC125" s="50"/>
      <c r="AD125" s="50"/>
      <c r="AE125" s="50"/>
      <c r="AF125" s="50"/>
      <c r="AG125" t="str">
        <f t="shared" si="1"/>
        <v/>
      </c>
    </row>
    <row r="126" spans="1:33" x14ac:dyDescent="0.35">
      <c r="A126" s="4">
        <v>123</v>
      </c>
      <c r="B126" s="7" t="s">
        <v>152</v>
      </c>
      <c r="C126" s="6" t="s">
        <v>347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26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45">
        <v>0</v>
      </c>
      <c r="AB126" s="18">
        <v>0</v>
      </c>
      <c r="AC126" s="50"/>
      <c r="AD126" s="50"/>
      <c r="AE126" s="50"/>
      <c r="AF126" s="50"/>
      <c r="AG126" t="str">
        <f t="shared" si="1"/>
        <v/>
      </c>
    </row>
    <row r="127" spans="1:33" x14ac:dyDescent="0.35">
      <c r="A127" s="4">
        <v>124</v>
      </c>
      <c r="B127" s="7" t="s">
        <v>153</v>
      </c>
      <c r="C127" s="8" t="s">
        <v>348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1</v>
      </c>
      <c r="K127" s="18">
        <v>0</v>
      </c>
      <c r="L127" s="18">
        <v>0</v>
      </c>
      <c r="M127" s="26">
        <v>0</v>
      </c>
      <c r="N127" s="18">
        <v>0</v>
      </c>
      <c r="O127" s="18">
        <v>0</v>
      </c>
      <c r="P127" s="26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26">
        <v>0</v>
      </c>
      <c r="W127" s="18">
        <v>0</v>
      </c>
      <c r="X127" s="18">
        <v>0</v>
      </c>
      <c r="Y127" s="18">
        <v>0</v>
      </c>
      <c r="Z127" s="18">
        <v>0</v>
      </c>
      <c r="AA127" s="45">
        <v>0</v>
      </c>
      <c r="AB127" s="18">
        <v>0</v>
      </c>
      <c r="AC127" s="50"/>
      <c r="AD127" s="50"/>
      <c r="AE127" s="50"/>
      <c r="AF127" s="50"/>
      <c r="AG127" t="str">
        <f t="shared" si="1"/>
        <v xml:space="preserve">2002, </v>
      </c>
    </row>
    <row r="128" spans="1:33" x14ac:dyDescent="0.35">
      <c r="A128" s="4">
        <v>125</v>
      </c>
      <c r="B128" s="7" t="s">
        <v>154</v>
      </c>
      <c r="C128" s="6" t="s">
        <v>349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26">
        <v>0</v>
      </c>
      <c r="O128" s="18">
        <v>0</v>
      </c>
      <c r="P128" s="18">
        <v>0</v>
      </c>
      <c r="Q128" s="18">
        <v>0</v>
      </c>
      <c r="R128" s="20">
        <v>1</v>
      </c>
      <c r="S128" s="18">
        <v>0</v>
      </c>
      <c r="T128" s="18">
        <v>0</v>
      </c>
      <c r="U128" s="18">
        <v>0</v>
      </c>
      <c r="V128" s="20">
        <v>1</v>
      </c>
      <c r="W128" s="26">
        <v>0</v>
      </c>
      <c r="X128" s="18">
        <v>0</v>
      </c>
      <c r="Y128" s="18">
        <v>0</v>
      </c>
      <c r="Z128" s="18">
        <v>0</v>
      </c>
      <c r="AA128" s="45">
        <v>0</v>
      </c>
      <c r="AB128" s="18">
        <v>0</v>
      </c>
      <c r="AC128" s="50"/>
      <c r="AD128" s="50"/>
      <c r="AE128" s="50"/>
      <c r="AF128" s="50"/>
      <c r="AG128" t="str">
        <f t="shared" si="1"/>
        <v xml:space="preserve">2010, 2014, </v>
      </c>
    </row>
    <row r="129" spans="1:33" x14ac:dyDescent="0.35">
      <c r="A129" s="4">
        <v>126</v>
      </c>
      <c r="B129" s="7" t="s">
        <v>155</v>
      </c>
      <c r="C129" s="6" t="s">
        <v>350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20">
        <v>1</v>
      </c>
      <c r="Y129" s="18">
        <v>0</v>
      </c>
      <c r="Z129" s="18">
        <v>0</v>
      </c>
      <c r="AA129" s="45">
        <v>0</v>
      </c>
      <c r="AB129" s="18">
        <v>0</v>
      </c>
      <c r="AC129" s="50"/>
      <c r="AD129" s="50"/>
      <c r="AE129" s="50"/>
      <c r="AF129" s="50"/>
      <c r="AG129" t="str">
        <f t="shared" si="1"/>
        <v xml:space="preserve">2016, </v>
      </c>
    </row>
    <row r="130" spans="1:33" x14ac:dyDescent="0.35">
      <c r="A130" s="4">
        <v>127</v>
      </c>
      <c r="B130" s="7" t="s">
        <v>156</v>
      </c>
      <c r="C130" s="8" t="s">
        <v>351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20">
        <v>1</v>
      </c>
      <c r="R130" s="20">
        <v>1</v>
      </c>
      <c r="S130" s="20">
        <v>1</v>
      </c>
      <c r="T130" s="20">
        <v>1</v>
      </c>
      <c r="U130" s="20">
        <v>1</v>
      </c>
      <c r="V130" s="20">
        <v>1</v>
      </c>
      <c r="W130" s="20">
        <v>1</v>
      </c>
      <c r="X130" s="20">
        <v>1</v>
      </c>
      <c r="Y130" s="20">
        <v>1</v>
      </c>
      <c r="Z130" s="20">
        <v>1</v>
      </c>
      <c r="AA130" s="45">
        <v>0</v>
      </c>
      <c r="AB130" s="18">
        <v>0</v>
      </c>
      <c r="AC130" s="50"/>
      <c r="AD130" s="50"/>
      <c r="AE130" s="50"/>
      <c r="AF130" s="50"/>
      <c r="AG130" t="str">
        <f t="shared" si="1"/>
        <v xml:space="preserve">2009, 2010, 2011, 2012, 2013, 2014, 2015, 2016, 2017, 2018, </v>
      </c>
    </row>
    <row r="131" spans="1:33" x14ac:dyDescent="0.35">
      <c r="A131" s="4">
        <v>128</v>
      </c>
      <c r="B131" s="7" t="s">
        <v>157</v>
      </c>
      <c r="C131" s="6" t="s">
        <v>352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26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26">
        <v>0</v>
      </c>
      <c r="Y131" s="18">
        <v>0</v>
      </c>
      <c r="Z131" s="18">
        <v>0</v>
      </c>
      <c r="AA131" s="45">
        <v>0</v>
      </c>
      <c r="AB131" s="18">
        <v>0</v>
      </c>
      <c r="AC131" s="50"/>
      <c r="AD131" s="50"/>
      <c r="AE131" s="50"/>
      <c r="AF131" s="50"/>
      <c r="AG131" t="str">
        <f t="shared" si="1"/>
        <v/>
      </c>
    </row>
    <row r="132" spans="1:33" x14ac:dyDescent="0.35">
      <c r="A132" s="4">
        <v>129</v>
      </c>
      <c r="B132" s="7" t="s">
        <v>158</v>
      </c>
      <c r="C132" s="6" t="s">
        <v>353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26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45">
        <v>0</v>
      </c>
      <c r="AB132" s="18">
        <v>0</v>
      </c>
      <c r="AC132" s="50"/>
      <c r="AD132" s="50"/>
      <c r="AE132" s="50"/>
      <c r="AF132" s="50"/>
      <c r="AG132" t="str">
        <f t="shared" si="1"/>
        <v/>
      </c>
    </row>
    <row r="133" spans="1:33" x14ac:dyDescent="0.35">
      <c r="A133" s="4">
        <v>130</v>
      </c>
      <c r="B133" s="7" t="s">
        <v>159</v>
      </c>
      <c r="C133" s="8" t="s">
        <v>354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26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45">
        <v>0</v>
      </c>
      <c r="AB133" s="18">
        <v>0</v>
      </c>
      <c r="AC133" s="50"/>
      <c r="AD133" s="50"/>
      <c r="AE133" s="50"/>
      <c r="AF133" s="50"/>
      <c r="AG133" t="str">
        <f t="shared" ref="AG133:AG193" si="2">+IF($D133=1,RIGHT(D$3,4)&amp;", ","")&amp;IF($E133=1,RIGHT(E$3,4)&amp;", ","")&amp;IF($F133=1,RIGHT(F$3,4)&amp;", ","")&amp;IF($G133=1,RIGHT(G$3,4)&amp;", ","")&amp;IF($H133=1,RIGHT(H$3,4)&amp;", ","")&amp;IF($I133=1,RIGHT(I$3,4)&amp;", ","")&amp;IF($J133=1,RIGHT(J$3,4)&amp;", ","")&amp;IF($K133=1,RIGHT(K$3,4)&amp;", ","")&amp;IF($L133=1,RIGHT(L$3,4)&amp;", ","")&amp;IF($M133=1,RIGHT(M$3,4)&amp;", ","")&amp;IF($N133=1,RIGHT(N$3,4)&amp;", ","")&amp;IF($O133=1,RIGHT(O$3,4)&amp;", ","")&amp;IF($P133=1,RIGHT(P$3,4)&amp;", ","")&amp;IF($Q133=1,RIGHT(Q$3,4)&amp;", ","")&amp;IF($R133=1,RIGHT(R$3,4)&amp;", ","")&amp;IF($S133=1,RIGHT(S$3,4)&amp;", ","")&amp;IF($T133=1,RIGHT(T$3,4)&amp;", ","")&amp;IF($U133=1,RIGHT(U$3,4)&amp;", ","")&amp;IF($V133=1,RIGHT(V$3,4)&amp;", ","")&amp;IF($W133=1,RIGHT(W$3,4)&amp;", ","")&amp;IF($X133=1,RIGHT(X$3,4)&amp;", ","")&amp;IF($Y133=1,RIGHT(Y$3,4)&amp;", ","")&amp;IF($Z133=1, RIGHT(Z$3,4)&amp;", ", "")&amp;IF($AA133=1, RIGHT(AA$3,4)&amp;", ", "")&amp;IF($AB133=1, RIGHT(AB$3,4)&amp;", ", "")&amp;IF($AC133=1, RIGHT(AC$3,4)&amp;", ", "")&amp;IF($AD133=1, RIGHT(AD$3,4)&amp;", ", "")&amp;IF($AE133=1, RIGHT(AE$3,4)&amp;", ", "")&amp;IF($AF133=1, RIGHT(AF$3,4)&amp;", ", "")</f>
        <v/>
      </c>
    </row>
    <row r="134" spans="1:33" x14ac:dyDescent="0.35">
      <c r="A134" s="4">
        <v>131</v>
      </c>
      <c r="B134" s="5" t="s">
        <v>160</v>
      </c>
      <c r="C134" s="6" t="s">
        <v>355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26">
        <v>0</v>
      </c>
      <c r="W134" s="18">
        <v>0</v>
      </c>
      <c r="X134" s="18">
        <v>0</v>
      </c>
      <c r="Y134" s="18">
        <v>0</v>
      </c>
      <c r="Z134" s="18">
        <v>0</v>
      </c>
      <c r="AA134" s="45">
        <v>0</v>
      </c>
      <c r="AB134" s="18">
        <v>0</v>
      </c>
      <c r="AC134" s="50"/>
      <c r="AD134" s="50"/>
      <c r="AE134" s="50"/>
      <c r="AF134" s="50"/>
      <c r="AG134" t="str">
        <f t="shared" si="2"/>
        <v/>
      </c>
    </row>
    <row r="135" spans="1:33" x14ac:dyDescent="0.35">
      <c r="A135" s="4">
        <v>132</v>
      </c>
      <c r="B135" s="5" t="s">
        <v>161</v>
      </c>
      <c r="C135" s="6" t="s">
        <v>356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26">
        <v>0</v>
      </c>
      <c r="N135" s="18">
        <v>0</v>
      </c>
      <c r="O135" s="18">
        <v>0</v>
      </c>
      <c r="P135" s="26">
        <v>0</v>
      </c>
      <c r="Q135" s="18">
        <v>0</v>
      </c>
      <c r="R135" s="18">
        <v>0</v>
      </c>
      <c r="S135" s="20">
        <v>1</v>
      </c>
      <c r="T135" s="20">
        <v>1</v>
      </c>
      <c r="U135" s="20">
        <v>1</v>
      </c>
      <c r="V135" s="20">
        <v>1</v>
      </c>
      <c r="W135" s="20">
        <v>1</v>
      </c>
      <c r="X135" s="20">
        <v>1</v>
      </c>
      <c r="Y135" s="18">
        <v>0</v>
      </c>
      <c r="Z135" s="18">
        <v>0</v>
      </c>
      <c r="AA135" s="45">
        <v>0</v>
      </c>
      <c r="AB135" s="18">
        <v>0</v>
      </c>
      <c r="AC135" s="50"/>
      <c r="AD135" s="50"/>
      <c r="AE135" s="50"/>
      <c r="AF135" s="50"/>
      <c r="AG135" t="str">
        <f t="shared" si="2"/>
        <v xml:space="preserve">2011, 2012, 2013, 2014, 2015, 2016, </v>
      </c>
    </row>
    <row r="136" spans="1:33" x14ac:dyDescent="0.35">
      <c r="A136" s="4">
        <v>133</v>
      </c>
      <c r="B136" s="7" t="s">
        <v>162</v>
      </c>
      <c r="C136" s="8" t="s">
        <v>357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45">
        <v>0</v>
      </c>
      <c r="AB136" s="18">
        <v>0</v>
      </c>
      <c r="AC136" s="50"/>
      <c r="AD136" s="50"/>
      <c r="AE136" s="50"/>
      <c r="AF136" s="50"/>
      <c r="AG136" t="str">
        <f t="shared" si="2"/>
        <v/>
      </c>
    </row>
    <row r="137" spans="1:33" x14ac:dyDescent="0.35">
      <c r="A137" s="4">
        <v>134</v>
      </c>
      <c r="B137" s="7" t="s">
        <v>163</v>
      </c>
      <c r="C137" s="6" t="s">
        <v>358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45">
        <v>0</v>
      </c>
      <c r="AB137" s="18">
        <v>0</v>
      </c>
      <c r="AC137" s="50"/>
      <c r="AD137" s="50"/>
      <c r="AE137" s="50"/>
      <c r="AF137" s="50"/>
      <c r="AG137" t="str">
        <f t="shared" si="2"/>
        <v/>
      </c>
    </row>
    <row r="138" spans="1:33" x14ac:dyDescent="0.35">
      <c r="A138" s="4">
        <v>135</v>
      </c>
      <c r="B138" s="7" t="s">
        <v>164</v>
      </c>
      <c r="C138" s="6" t="s">
        <v>359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20">
        <v>1</v>
      </c>
      <c r="J138" s="18">
        <v>0</v>
      </c>
      <c r="K138" s="18">
        <v>0</v>
      </c>
      <c r="L138" s="18">
        <v>0</v>
      </c>
      <c r="M138" s="18">
        <v>0</v>
      </c>
      <c r="N138" s="20">
        <v>1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26">
        <v>0</v>
      </c>
      <c r="V138" s="26">
        <v>0</v>
      </c>
      <c r="W138" s="18">
        <v>0</v>
      </c>
      <c r="X138" s="18">
        <v>0</v>
      </c>
      <c r="Y138" s="18">
        <v>0</v>
      </c>
      <c r="Z138" s="18">
        <v>0</v>
      </c>
      <c r="AA138" s="45">
        <v>0</v>
      </c>
      <c r="AB138" s="18">
        <v>0</v>
      </c>
      <c r="AC138" s="50"/>
      <c r="AD138" s="50"/>
      <c r="AE138" s="50"/>
      <c r="AF138" s="50"/>
      <c r="AG138" t="str">
        <f t="shared" si="2"/>
        <v xml:space="preserve">2001, 2006, </v>
      </c>
    </row>
    <row r="139" spans="1:33" x14ac:dyDescent="0.35">
      <c r="A139" s="4">
        <v>136</v>
      </c>
      <c r="B139" s="7" t="s">
        <v>165</v>
      </c>
      <c r="C139" s="6" t="s">
        <v>360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1</v>
      </c>
      <c r="K139" s="18">
        <v>0</v>
      </c>
      <c r="L139" s="18">
        <v>0</v>
      </c>
      <c r="M139" s="26">
        <v>0</v>
      </c>
      <c r="N139" s="18">
        <v>0</v>
      </c>
      <c r="O139" s="18">
        <v>0</v>
      </c>
      <c r="P139" s="20">
        <v>1</v>
      </c>
      <c r="Q139" s="20">
        <v>1</v>
      </c>
      <c r="R139" s="20">
        <v>1</v>
      </c>
      <c r="S139" s="20">
        <v>1</v>
      </c>
      <c r="T139" s="20">
        <v>1</v>
      </c>
      <c r="U139" s="20">
        <v>1</v>
      </c>
      <c r="V139" s="20">
        <v>1</v>
      </c>
      <c r="W139" s="20">
        <v>1</v>
      </c>
      <c r="X139" s="20">
        <v>1</v>
      </c>
      <c r="Y139" s="18">
        <v>0</v>
      </c>
      <c r="Z139" s="18">
        <v>0</v>
      </c>
      <c r="AA139" s="45">
        <v>0</v>
      </c>
      <c r="AB139" s="18">
        <v>0</v>
      </c>
      <c r="AC139" s="50"/>
      <c r="AD139" s="50"/>
      <c r="AE139" s="50"/>
      <c r="AF139" s="50"/>
      <c r="AG139" t="str">
        <f t="shared" si="2"/>
        <v xml:space="preserve">2002, 2008, 2009, 2010, 2011, 2012, 2013, 2014, 2015, 2016, </v>
      </c>
    </row>
    <row r="140" spans="1:33" x14ac:dyDescent="0.35">
      <c r="A140" s="4">
        <v>137</v>
      </c>
      <c r="B140" s="15" t="s">
        <v>166</v>
      </c>
      <c r="C140" s="6" t="s">
        <v>361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20">
        <v>1</v>
      </c>
      <c r="J140" s="20">
        <v>1</v>
      </c>
      <c r="K140" s="20">
        <v>1</v>
      </c>
      <c r="L140" s="20">
        <v>1</v>
      </c>
      <c r="M140" s="20">
        <v>1</v>
      </c>
      <c r="N140" s="20">
        <v>1</v>
      </c>
      <c r="O140" s="20">
        <v>1</v>
      </c>
      <c r="P140" s="20">
        <v>1</v>
      </c>
      <c r="Q140" s="20">
        <v>1</v>
      </c>
      <c r="R140" s="20">
        <v>1</v>
      </c>
      <c r="S140" s="20">
        <v>1</v>
      </c>
      <c r="T140" s="20">
        <v>1</v>
      </c>
      <c r="U140" s="20">
        <v>1</v>
      </c>
      <c r="V140" s="20">
        <v>1</v>
      </c>
      <c r="W140" s="20">
        <v>1</v>
      </c>
      <c r="X140" s="20">
        <v>1</v>
      </c>
      <c r="Y140" s="20">
        <v>1</v>
      </c>
      <c r="Z140" s="18">
        <v>0</v>
      </c>
      <c r="AA140" s="45">
        <v>0</v>
      </c>
      <c r="AB140" s="18">
        <v>0</v>
      </c>
      <c r="AC140" s="50"/>
      <c r="AD140" s="50"/>
      <c r="AE140" s="50"/>
      <c r="AF140" s="50"/>
      <c r="AG140" t="str">
        <f t="shared" si="2"/>
        <v xml:space="preserve">2001, 2002, 2003, 2004, 2005, 2006, 2007, 2008, 2009, 2010, 2011, 2012, 2013, 2014, 2015, 2016, 2017, </v>
      </c>
    </row>
    <row r="141" spans="1:33" x14ac:dyDescent="0.35">
      <c r="A141" s="4">
        <v>138</v>
      </c>
      <c r="B141" s="7" t="s">
        <v>167</v>
      </c>
      <c r="C141" s="8" t="s">
        <v>362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1</v>
      </c>
      <c r="K141" s="18">
        <v>0</v>
      </c>
      <c r="L141" s="18">
        <v>0</v>
      </c>
      <c r="M141" s="26">
        <v>0</v>
      </c>
      <c r="N141" s="18">
        <v>0</v>
      </c>
      <c r="O141" s="18">
        <v>0</v>
      </c>
      <c r="P141" s="26">
        <v>0</v>
      </c>
      <c r="Q141" s="18">
        <v>0</v>
      </c>
      <c r="R141" s="18">
        <v>0</v>
      </c>
      <c r="S141" s="18">
        <v>0</v>
      </c>
      <c r="T141" s="18">
        <v>0</v>
      </c>
      <c r="U141" s="26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46">
        <v>1</v>
      </c>
      <c r="AB141" s="18">
        <v>0</v>
      </c>
      <c r="AC141" s="50">
        <v>1</v>
      </c>
      <c r="AD141" s="50">
        <v>1</v>
      </c>
      <c r="AE141" s="50">
        <v>1</v>
      </c>
      <c r="AF141" s="50"/>
      <c r="AG141" t="str">
        <f t="shared" si="2"/>
        <v xml:space="preserve">2002, 2019, 2021, 2022, 2023, </v>
      </c>
    </row>
    <row r="142" spans="1:33" x14ac:dyDescent="0.35">
      <c r="A142" s="4">
        <v>139</v>
      </c>
      <c r="B142" s="15" t="s">
        <v>168</v>
      </c>
      <c r="C142" s="6" t="s">
        <v>363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20">
        <v>1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26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45">
        <v>0</v>
      </c>
      <c r="AB142" s="18">
        <v>0</v>
      </c>
      <c r="AC142" s="50"/>
      <c r="AD142" s="50"/>
      <c r="AE142" s="50"/>
      <c r="AF142" s="50"/>
      <c r="AG142" t="str">
        <f t="shared" si="2"/>
        <v xml:space="preserve">2001, </v>
      </c>
    </row>
    <row r="143" spans="1:33" x14ac:dyDescent="0.35">
      <c r="A143" s="4">
        <v>140</v>
      </c>
      <c r="B143" s="15" t="s">
        <v>169</v>
      </c>
      <c r="C143" s="6" t="s">
        <v>364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26">
        <v>0</v>
      </c>
      <c r="O143" s="18">
        <v>0</v>
      </c>
      <c r="P143" s="26">
        <v>0</v>
      </c>
      <c r="Q143" s="18">
        <v>0</v>
      </c>
      <c r="R143" s="18">
        <v>0</v>
      </c>
      <c r="S143" s="26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45">
        <v>0</v>
      </c>
      <c r="AB143" s="18">
        <v>0</v>
      </c>
      <c r="AC143" s="50"/>
      <c r="AD143" s="50"/>
      <c r="AE143" s="50"/>
      <c r="AF143" s="50"/>
      <c r="AG143" t="str">
        <f t="shared" si="2"/>
        <v/>
      </c>
    </row>
    <row r="144" spans="1:33" x14ac:dyDescent="0.35">
      <c r="A144" s="4">
        <v>141</v>
      </c>
      <c r="B144" s="15" t="s">
        <v>170</v>
      </c>
      <c r="C144" s="6" t="s">
        <v>365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26">
        <v>0</v>
      </c>
      <c r="N144" s="26">
        <v>0</v>
      </c>
      <c r="O144" s="20">
        <v>1</v>
      </c>
      <c r="P144" s="20">
        <v>1</v>
      </c>
      <c r="Q144" s="20">
        <v>1</v>
      </c>
      <c r="R144" s="20">
        <v>1</v>
      </c>
      <c r="S144" s="20">
        <v>1</v>
      </c>
      <c r="T144" s="20">
        <v>1</v>
      </c>
      <c r="U144" s="20">
        <v>1</v>
      </c>
      <c r="V144" s="20">
        <v>1</v>
      </c>
      <c r="W144" s="20">
        <v>1</v>
      </c>
      <c r="X144" s="20">
        <v>1</v>
      </c>
      <c r="Y144" s="18">
        <v>0</v>
      </c>
      <c r="Z144" s="18">
        <v>0</v>
      </c>
      <c r="AA144" s="45">
        <v>0</v>
      </c>
      <c r="AB144" s="18">
        <v>0</v>
      </c>
      <c r="AC144" s="50"/>
      <c r="AD144" s="50"/>
      <c r="AE144" s="50"/>
      <c r="AF144" s="50"/>
      <c r="AG144" t="str">
        <f t="shared" si="2"/>
        <v xml:space="preserve">2007, 2008, 2009, 2010, 2011, 2012, 2013, 2014, 2015, 2016, </v>
      </c>
    </row>
    <row r="145" spans="1:35" x14ac:dyDescent="0.35">
      <c r="A145" s="4">
        <v>142</v>
      </c>
      <c r="B145" s="15" t="s">
        <v>171</v>
      </c>
      <c r="C145" s="6" t="s">
        <v>366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  <c r="K145" s="20">
        <v>1</v>
      </c>
      <c r="L145" s="20">
        <v>1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26">
        <v>0</v>
      </c>
      <c r="S145" s="18">
        <v>0</v>
      </c>
      <c r="T145" s="18">
        <v>0</v>
      </c>
      <c r="U145" s="18">
        <v>0</v>
      </c>
      <c r="V145" s="26">
        <v>0</v>
      </c>
      <c r="W145" s="18">
        <v>0</v>
      </c>
      <c r="X145" s="18">
        <v>0</v>
      </c>
      <c r="Y145" s="18">
        <v>0</v>
      </c>
      <c r="Z145" s="18">
        <v>0</v>
      </c>
      <c r="AA145" s="45">
        <v>0</v>
      </c>
      <c r="AB145" s="18">
        <v>0</v>
      </c>
      <c r="AC145" s="50"/>
      <c r="AD145" s="50"/>
      <c r="AE145" s="50"/>
      <c r="AF145" s="50"/>
      <c r="AG145" t="str">
        <f t="shared" si="2"/>
        <v xml:space="preserve">2003, 2004, </v>
      </c>
    </row>
    <row r="146" spans="1:35" x14ac:dyDescent="0.35">
      <c r="A146" s="4">
        <v>143</v>
      </c>
      <c r="B146" s="15" t="s">
        <v>172</v>
      </c>
      <c r="C146" s="6" t="s">
        <v>367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26">
        <v>0</v>
      </c>
      <c r="V146" s="26">
        <v>0</v>
      </c>
      <c r="W146" s="18">
        <v>0</v>
      </c>
      <c r="X146" s="26">
        <v>0</v>
      </c>
      <c r="Y146" s="18">
        <v>0</v>
      </c>
      <c r="Z146" s="18">
        <v>0</v>
      </c>
      <c r="AA146" s="45">
        <v>0</v>
      </c>
      <c r="AB146" s="18">
        <v>0</v>
      </c>
      <c r="AC146" s="50"/>
      <c r="AD146" s="50"/>
      <c r="AE146" s="50"/>
      <c r="AF146" s="50"/>
      <c r="AG146" t="str">
        <f t="shared" si="2"/>
        <v/>
      </c>
    </row>
    <row r="147" spans="1:35" x14ac:dyDescent="0.35">
      <c r="A147" s="4">
        <v>144</v>
      </c>
      <c r="B147" s="15" t="s">
        <v>173</v>
      </c>
      <c r="C147" s="6" t="s">
        <v>368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26">
        <v>0</v>
      </c>
      <c r="U147" s="18">
        <v>0</v>
      </c>
      <c r="V147" s="18">
        <v>0</v>
      </c>
      <c r="W147" s="18">
        <v>0</v>
      </c>
      <c r="X147" s="18">
        <v>0</v>
      </c>
      <c r="Y147" s="26">
        <v>0</v>
      </c>
      <c r="Z147" s="18">
        <v>0</v>
      </c>
      <c r="AA147" s="45">
        <v>0</v>
      </c>
      <c r="AB147" s="18">
        <v>0</v>
      </c>
      <c r="AC147" s="50"/>
      <c r="AD147" s="50"/>
      <c r="AE147" s="50"/>
      <c r="AF147" s="50"/>
      <c r="AG147" t="str">
        <f t="shared" si="2"/>
        <v/>
      </c>
    </row>
    <row r="148" spans="1:35" x14ac:dyDescent="0.35">
      <c r="A148" s="4">
        <v>145</v>
      </c>
      <c r="B148" s="5" t="s">
        <v>174</v>
      </c>
      <c r="C148" s="16" t="s">
        <v>369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20">
        <v>1</v>
      </c>
      <c r="J148" s="20">
        <v>1</v>
      </c>
      <c r="K148" s="20">
        <v>1</v>
      </c>
      <c r="L148" s="20">
        <v>1</v>
      </c>
      <c r="M148" s="20">
        <v>1</v>
      </c>
      <c r="N148" s="20">
        <v>1</v>
      </c>
      <c r="O148" s="20">
        <v>1</v>
      </c>
      <c r="P148" s="20">
        <v>1</v>
      </c>
      <c r="Q148" s="20">
        <v>1</v>
      </c>
      <c r="R148" s="20">
        <v>1</v>
      </c>
      <c r="S148" s="20">
        <v>1</v>
      </c>
      <c r="T148" s="20">
        <v>1</v>
      </c>
      <c r="U148" s="20">
        <v>1</v>
      </c>
      <c r="V148" s="20">
        <v>1</v>
      </c>
      <c r="W148" s="20">
        <v>1</v>
      </c>
      <c r="X148" s="20">
        <v>1</v>
      </c>
      <c r="Y148" s="20">
        <v>1</v>
      </c>
      <c r="Z148" s="20">
        <v>1</v>
      </c>
      <c r="AA148" s="45">
        <v>0</v>
      </c>
      <c r="AB148" s="18">
        <v>0</v>
      </c>
      <c r="AC148" s="50"/>
      <c r="AD148" s="50"/>
      <c r="AE148" s="50"/>
      <c r="AF148" s="50"/>
      <c r="AG148" t="str">
        <f t="shared" si="2"/>
        <v xml:space="preserve">2001, 2002, 2003, 2004, 2005, 2006, 2007, 2008, 2009, 2010, 2011, 2012, 2013, 2014, 2015, 2016, 2017, 2018, </v>
      </c>
    </row>
    <row r="149" spans="1:35" x14ac:dyDescent="0.35">
      <c r="A149" s="4">
        <v>146</v>
      </c>
      <c r="B149" s="29" t="s">
        <v>175</v>
      </c>
      <c r="C149" s="29" t="s">
        <v>370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30">
        <v>1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/>
      <c r="AE149" s="50"/>
      <c r="AF149" s="50"/>
      <c r="AG149" t="str">
        <f t="shared" si="2"/>
        <v xml:space="preserve">2006, </v>
      </c>
      <c r="AH149" s="31" t="s">
        <v>371</v>
      </c>
    </row>
    <row r="150" spans="1:35" x14ac:dyDescent="0.35">
      <c r="A150" s="4">
        <v>147</v>
      </c>
      <c r="B150" s="29" t="s">
        <v>176</v>
      </c>
      <c r="C150" s="29" t="s">
        <v>372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1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/>
      <c r="AE150" s="50"/>
      <c r="AF150" s="50"/>
      <c r="AG150" t="str">
        <f t="shared" si="2"/>
        <v xml:space="preserve">2010, </v>
      </c>
      <c r="AH150" s="29" t="s">
        <v>373</v>
      </c>
    </row>
    <row r="151" spans="1:35" x14ac:dyDescent="0.35">
      <c r="A151" s="4">
        <v>148</v>
      </c>
      <c r="B151" s="29" t="s">
        <v>177</v>
      </c>
      <c r="C151" s="29" t="s">
        <v>374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1</v>
      </c>
      <c r="N151" s="18">
        <v>1</v>
      </c>
      <c r="O151" s="18">
        <v>1</v>
      </c>
      <c r="P151" s="18">
        <v>1</v>
      </c>
      <c r="Q151" s="18">
        <v>1</v>
      </c>
      <c r="R151" s="18">
        <v>1</v>
      </c>
      <c r="S151" s="18">
        <v>1</v>
      </c>
      <c r="T151" s="18">
        <v>1</v>
      </c>
      <c r="U151" s="18">
        <v>1</v>
      </c>
      <c r="V151" s="18">
        <v>1</v>
      </c>
      <c r="W151" s="18">
        <v>1</v>
      </c>
      <c r="X151" s="18">
        <v>1</v>
      </c>
      <c r="Y151" s="18">
        <v>1</v>
      </c>
      <c r="Z151" s="18">
        <v>0</v>
      </c>
      <c r="AA151" s="18">
        <v>1</v>
      </c>
      <c r="AB151" s="18">
        <v>1</v>
      </c>
      <c r="AC151" s="18">
        <v>1</v>
      </c>
      <c r="AD151" s="18"/>
      <c r="AE151" s="50"/>
      <c r="AF151" s="50"/>
      <c r="AG151" t="str">
        <f t="shared" si="2"/>
        <v xml:space="preserve">2005, 2006, 2007, 2008, 2009, 2010, 2011, 2012, 2013, 2014, 2015, 2016, 2017, 2019, 2020, 2021, </v>
      </c>
      <c r="AH151" s="40" t="s">
        <v>375</v>
      </c>
      <c r="AI151" s="33" t="s">
        <v>376</v>
      </c>
    </row>
    <row r="152" spans="1:35" x14ac:dyDescent="0.35">
      <c r="A152" s="4">
        <v>149</v>
      </c>
      <c r="B152" s="29" t="s">
        <v>178</v>
      </c>
      <c r="C152" s="29" t="s">
        <v>377</v>
      </c>
      <c r="D152" s="18">
        <v>0</v>
      </c>
      <c r="E152" s="18">
        <v>0</v>
      </c>
      <c r="F152" s="18">
        <v>0</v>
      </c>
      <c r="G152" s="18">
        <v>0</v>
      </c>
      <c r="H152" s="18">
        <v>1</v>
      </c>
      <c r="I152" s="18">
        <v>1</v>
      </c>
      <c r="J152" s="18">
        <v>1</v>
      </c>
      <c r="K152" s="18">
        <v>1</v>
      </c>
      <c r="L152" s="18">
        <v>1</v>
      </c>
      <c r="M152" s="18">
        <v>1</v>
      </c>
      <c r="N152" s="18">
        <v>1</v>
      </c>
      <c r="O152" s="18">
        <v>1</v>
      </c>
      <c r="P152" s="18">
        <v>1</v>
      </c>
      <c r="Q152" s="18">
        <v>1</v>
      </c>
      <c r="R152" s="18">
        <v>1</v>
      </c>
      <c r="S152" s="18">
        <v>1</v>
      </c>
      <c r="T152" s="18">
        <v>1</v>
      </c>
      <c r="U152" s="18">
        <v>1</v>
      </c>
      <c r="V152" s="18">
        <v>1</v>
      </c>
      <c r="W152" s="18">
        <v>1</v>
      </c>
      <c r="X152" s="18">
        <v>1</v>
      </c>
      <c r="Y152" s="18">
        <v>1</v>
      </c>
      <c r="Z152" s="18">
        <v>1</v>
      </c>
      <c r="AA152" s="18">
        <v>1</v>
      </c>
      <c r="AB152" s="18">
        <v>1</v>
      </c>
      <c r="AC152" s="18">
        <v>1</v>
      </c>
      <c r="AD152" s="18"/>
      <c r="AE152" s="50"/>
      <c r="AF152" s="50"/>
      <c r="AG152" t="str">
        <f t="shared" si="2"/>
        <v xml:space="preserve">2000, 2001, 2002, 2003, 2004, 2005, 2006, 2007, 2008, 2009, 2010, 2011, 2012, 2013, 2014, 2015, 2016, 2017, 2018, 2019, 2020, 2021, </v>
      </c>
      <c r="AH152" s="40" t="s">
        <v>378</v>
      </c>
      <c r="AI152" s="33" t="s">
        <v>379</v>
      </c>
    </row>
    <row r="153" spans="1:35" x14ac:dyDescent="0.35">
      <c r="A153" s="4">
        <v>150</v>
      </c>
      <c r="B153" s="29" t="s">
        <v>179</v>
      </c>
      <c r="C153" s="29" t="s">
        <v>380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1</v>
      </c>
      <c r="J153" s="18">
        <v>1</v>
      </c>
      <c r="K153" s="18">
        <v>1</v>
      </c>
      <c r="L153" s="18">
        <v>1</v>
      </c>
      <c r="M153" s="18">
        <v>1</v>
      </c>
      <c r="N153" s="18">
        <v>1</v>
      </c>
      <c r="O153" s="18">
        <v>1</v>
      </c>
      <c r="P153" s="18">
        <v>1</v>
      </c>
      <c r="Q153" s="18">
        <v>1</v>
      </c>
      <c r="R153" s="18">
        <v>1</v>
      </c>
      <c r="S153" s="18">
        <v>1</v>
      </c>
      <c r="T153" s="18">
        <v>1</v>
      </c>
      <c r="U153" s="18">
        <v>1</v>
      </c>
      <c r="V153" s="18">
        <v>1</v>
      </c>
      <c r="W153" s="18">
        <v>1</v>
      </c>
      <c r="X153" s="18">
        <v>1</v>
      </c>
      <c r="Y153" s="18">
        <v>1</v>
      </c>
      <c r="Z153" s="18">
        <v>1</v>
      </c>
      <c r="AA153" s="18">
        <v>1</v>
      </c>
      <c r="AB153" s="18">
        <v>1</v>
      </c>
      <c r="AC153" s="18">
        <v>1</v>
      </c>
      <c r="AD153" s="18"/>
      <c r="AE153" s="50"/>
      <c r="AF153" s="50"/>
      <c r="AG153" t="str">
        <f t="shared" si="2"/>
        <v xml:space="preserve">2001, 2002, 2003, 2004, 2005, 2006, 2007, 2008, 2009, 2010, 2011, 2012, 2013, 2014, 2015, 2016, 2017, 2018, 2019, 2020, 2021, </v>
      </c>
      <c r="AH153" s="40" t="s">
        <v>381</v>
      </c>
    </row>
    <row r="154" spans="1:35" x14ac:dyDescent="0.35">
      <c r="A154" s="4">
        <v>151</v>
      </c>
      <c r="B154" s="29" t="s">
        <v>180</v>
      </c>
      <c r="C154" s="29" t="s">
        <v>382</v>
      </c>
      <c r="D154" s="18">
        <v>0</v>
      </c>
      <c r="E154" s="18">
        <v>1</v>
      </c>
      <c r="F154" s="18">
        <v>1</v>
      </c>
      <c r="G154" s="18">
        <v>1</v>
      </c>
      <c r="H154" s="18">
        <v>1</v>
      </c>
      <c r="I154" s="18">
        <v>1</v>
      </c>
      <c r="J154" s="18">
        <v>1</v>
      </c>
      <c r="K154" s="18">
        <v>1</v>
      </c>
      <c r="L154" s="18">
        <v>1</v>
      </c>
      <c r="M154" s="18">
        <v>1</v>
      </c>
      <c r="N154" s="18">
        <v>1</v>
      </c>
      <c r="O154" s="18">
        <v>1</v>
      </c>
      <c r="P154" s="18">
        <v>1</v>
      </c>
      <c r="Q154" s="18">
        <v>1</v>
      </c>
      <c r="R154" s="18">
        <v>1</v>
      </c>
      <c r="S154" s="18">
        <v>1</v>
      </c>
      <c r="T154" s="18">
        <v>1</v>
      </c>
      <c r="U154" s="18">
        <v>1</v>
      </c>
      <c r="V154" s="18">
        <v>1</v>
      </c>
      <c r="W154" s="18">
        <v>1</v>
      </c>
      <c r="X154" s="18">
        <v>1</v>
      </c>
      <c r="Y154" s="18">
        <v>1</v>
      </c>
      <c r="Z154" s="18">
        <v>1</v>
      </c>
      <c r="AA154" s="18">
        <v>1</v>
      </c>
      <c r="AB154" s="18">
        <v>1</v>
      </c>
      <c r="AC154" s="18">
        <v>1</v>
      </c>
      <c r="AD154" s="18"/>
      <c r="AE154" s="50"/>
      <c r="AF154" s="50"/>
      <c r="AG154" t="str">
        <f t="shared" si="2"/>
        <v xml:space="preserve">1997, 1998, 1999, 2000, 2001, 2002, 2003, 2004, 2005, 2006, 2007, 2008, 2009, 2010, 2011, 2012, 2013, 2014, 2015, 2016, 2017, 2018, 2019, 2020, 2021, </v>
      </c>
      <c r="AH154" s="40" t="s">
        <v>383</v>
      </c>
      <c r="AI154" t="s">
        <v>384</v>
      </c>
    </row>
    <row r="155" spans="1:35" x14ac:dyDescent="0.35">
      <c r="A155" s="4">
        <v>152</v>
      </c>
      <c r="B155" s="29" t="s">
        <v>181</v>
      </c>
      <c r="C155" s="29" t="s">
        <v>385</v>
      </c>
      <c r="D155" s="18">
        <v>1</v>
      </c>
      <c r="E155" s="18">
        <v>1</v>
      </c>
      <c r="F155" s="18">
        <v>1</v>
      </c>
      <c r="G155" s="18">
        <v>1</v>
      </c>
      <c r="H155" s="18">
        <v>1</v>
      </c>
      <c r="I155" s="18">
        <v>1</v>
      </c>
      <c r="J155" s="18">
        <v>1</v>
      </c>
      <c r="K155" s="18">
        <v>1</v>
      </c>
      <c r="L155" s="18">
        <v>1</v>
      </c>
      <c r="M155" s="18">
        <v>1</v>
      </c>
      <c r="N155" s="18">
        <v>1</v>
      </c>
      <c r="O155" s="18">
        <v>1</v>
      </c>
      <c r="P155" s="18">
        <v>1</v>
      </c>
      <c r="Q155" s="18">
        <v>1</v>
      </c>
      <c r="R155" s="18">
        <v>1</v>
      </c>
      <c r="S155" s="18">
        <v>1</v>
      </c>
      <c r="T155" s="18">
        <v>1</v>
      </c>
      <c r="U155" s="18">
        <v>1</v>
      </c>
      <c r="V155" s="18">
        <v>1</v>
      </c>
      <c r="W155" s="18">
        <v>1</v>
      </c>
      <c r="X155" s="18">
        <v>1</v>
      </c>
      <c r="Y155" s="18">
        <v>1</v>
      </c>
      <c r="Z155" s="18">
        <v>1</v>
      </c>
      <c r="AA155" s="18">
        <v>1</v>
      </c>
      <c r="AB155" s="18">
        <v>1</v>
      </c>
      <c r="AC155" s="18">
        <v>1</v>
      </c>
      <c r="AD155" s="18"/>
      <c r="AE155" s="50"/>
      <c r="AF155" s="50"/>
      <c r="AG155" t="str">
        <f t="shared" si="2"/>
        <v xml:space="preserve">1996, 1997, 1998, 1999, 2000, 2001, 2002, 2003, 2004, 2005, 2006, 2007, 2008, 2009, 2010, 2011, 2012, 2013, 2014, 2015, 2016, 2017, 2018, 2019, 2020, 2021, </v>
      </c>
      <c r="AH155" s="40" t="s">
        <v>386</v>
      </c>
      <c r="AI155" s="33" t="s">
        <v>387</v>
      </c>
    </row>
    <row r="156" spans="1:35" x14ac:dyDescent="0.35">
      <c r="A156" s="4">
        <v>153</v>
      </c>
      <c r="B156" s="29" t="s">
        <v>182</v>
      </c>
      <c r="C156" s="29" t="s">
        <v>388</v>
      </c>
      <c r="D156" s="18">
        <v>0</v>
      </c>
      <c r="E156" s="18">
        <v>0</v>
      </c>
      <c r="F156" s="20">
        <v>1</v>
      </c>
      <c r="G156" s="20">
        <v>1</v>
      </c>
      <c r="H156" s="20">
        <v>1</v>
      </c>
      <c r="I156" s="20">
        <v>1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18"/>
      <c r="AE156" s="50"/>
      <c r="AF156" s="50"/>
      <c r="AG156" t="str">
        <f t="shared" si="2"/>
        <v xml:space="preserve">1998, 1999, 2000, 2001, </v>
      </c>
      <c r="AH156" s="31" t="s">
        <v>389</v>
      </c>
    </row>
    <row r="157" spans="1:35" x14ac:dyDescent="0.35">
      <c r="A157" s="4">
        <v>154</v>
      </c>
      <c r="B157" s="29" t="s">
        <v>183</v>
      </c>
      <c r="C157" s="29" t="s">
        <v>390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20">
        <v>1</v>
      </c>
      <c r="N157" s="20">
        <v>1</v>
      </c>
      <c r="O157" s="20">
        <v>1</v>
      </c>
      <c r="P157" s="20">
        <v>1</v>
      </c>
      <c r="Q157" s="20">
        <v>1</v>
      </c>
      <c r="R157" s="20">
        <v>1</v>
      </c>
      <c r="S157" s="20">
        <v>1</v>
      </c>
      <c r="T157" s="20">
        <v>1</v>
      </c>
      <c r="U157" s="20">
        <v>1</v>
      </c>
      <c r="V157" s="20">
        <v>1</v>
      </c>
      <c r="W157" s="20">
        <v>1</v>
      </c>
      <c r="X157" s="20">
        <v>1</v>
      </c>
      <c r="Y157" s="20">
        <v>1</v>
      </c>
      <c r="Z157" s="18">
        <v>1</v>
      </c>
      <c r="AA157" s="18">
        <v>1</v>
      </c>
      <c r="AB157" s="18">
        <v>1</v>
      </c>
      <c r="AC157" s="18">
        <v>1</v>
      </c>
      <c r="AD157" s="18">
        <v>1</v>
      </c>
      <c r="AE157" s="50"/>
      <c r="AF157" s="50"/>
      <c r="AG157" t="str">
        <f t="shared" si="2"/>
        <v xml:space="preserve">2005, 2006, 2007, 2008, 2009, 2010, 2011, 2012, 2013, 2014, 2015, 2016, 2017, 2018, 2019, 2020, 2021, 2022, </v>
      </c>
      <c r="AH157" s="31" t="s">
        <v>391</v>
      </c>
    </row>
    <row r="158" spans="1:35" x14ac:dyDescent="0.35">
      <c r="A158" s="4">
        <v>155</v>
      </c>
      <c r="B158" s="29" t="s">
        <v>184</v>
      </c>
      <c r="C158" s="29" t="s">
        <v>392</v>
      </c>
      <c r="D158" s="18">
        <v>1</v>
      </c>
      <c r="E158" s="18">
        <v>1</v>
      </c>
      <c r="F158" s="18">
        <v>1</v>
      </c>
      <c r="G158" s="18">
        <v>1</v>
      </c>
      <c r="H158" s="18">
        <v>1</v>
      </c>
      <c r="I158" s="18">
        <v>1</v>
      </c>
      <c r="J158" s="18">
        <v>1</v>
      </c>
      <c r="K158" s="18">
        <v>1</v>
      </c>
      <c r="L158" s="18">
        <v>1</v>
      </c>
      <c r="M158" s="18">
        <v>1</v>
      </c>
      <c r="N158" s="18">
        <v>1</v>
      </c>
      <c r="O158" s="18">
        <v>1</v>
      </c>
      <c r="P158" s="18">
        <v>1</v>
      </c>
      <c r="Q158" s="18">
        <v>1</v>
      </c>
      <c r="R158" s="18">
        <v>1</v>
      </c>
      <c r="S158" s="18">
        <v>1</v>
      </c>
      <c r="T158" s="18">
        <v>1</v>
      </c>
      <c r="U158" s="18">
        <v>1</v>
      </c>
      <c r="V158" s="18">
        <v>1</v>
      </c>
      <c r="W158" s="18">
        <v>1</v>
      </c>
      <c r="X158" s="18">
        <v>1</v>
      </c>
      <c r="Y158" s="18">
        <v>1</v>
      </c>
      <c r="Z158" s="18">
        <v>1</v>
      </c>
      <c r="AA158" s="18">
        <v>1</v>
      </c>
      <c r="AB158" s="18">
        <v>1</v>
      </c>
      <c r="AC158" s="18">
        <v>1</v>
      </c>
      <c r="AD158" s="18"/>
      <c r="AE158" s="50"/>
      <c r="AF158" s="50"/>
      <c r="AG158" t="str">
        <f t="shared" si="2"/>
        <v xml:space="preserve">1996, 1997, 1998, 1999, 2000, 2001, 2002, 2003, 2004, 2005, 2006, 2007, 2008, 2009, 2010, 2011, 2012, 2013, 2014, 2015, 2016, 2017, 2018, 2019, 2020, 2021, </v>
      </c>
      <c r="AH158" s="41" t="s">
        <v>393</v>
      </c>
      <c r="AI158" s="33" t="s">
        <v>394</v>
      </c>
    </row>
    <row r="159" spans="1:35" x14ac:dyDescent="0.35">
      <c r="A159" s="4">
        <v>156</v>
      </c>
      <c r="B159" s="42" t="s">
        <v>185</v>
      </c>
      <c r="C159" s="42" t="s">
        <v>395</v>
      </c>
      <c r="D159" s="29">
        <v>0</v>
      </c>
      <c r="E159" s="29">
        <v>0</v>
      </c>
      <c r="F159" s="29">
        <v>0</v>
      </c>
      <c r="G159" s="29">
        <v>0</v>
      </c>
      <c r="H159" s="29">
        <v>0</v>
      </c>
      <c r="I159" s="29">
        <v>0</v>
      </c>
      <c r="J159" s="29">
        <v>0</v>
      </c>
      <c r="K159" s="29">
        <v>0</v>
      </c>
      <c r="L159" s="29">
        <v>0</v>
      </c>
      <c r="M159" s="29">
        <v>0</v>
      </c>
      <c r="N159" s="29">
        <v>0</v>
      </c>
      <c r="O159" s="29">
        <v>0</v>
      </c>
      <c r="P159" s="29">
        <v>0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18">
        <v>0</v>
      </c>
      <c r="AC159" s="29">
        <v>0</v>
      </c>
      <c r="AD159" s="18"/>
      <c r="AE159" s="50"/>
      <c r="AF159" s="50"/>
      <c r="AG159" t="str">
        <f t="shared" si="2"/>
        <v/>
      </c>
    </row>
    <row r="160" spans="1:35" x14ac:dyDescent="0.35">
      <c r="A160" s="4">
        <v>157</v>
      </c>
      <c r="B160" s="42" t="s">
        <v>186</v>
      </c>
      <c r="C160" s="42" t="s">
        <v>396</v>
      </c>
      <c r="D160" s="29">
        <v>0</v>
      </c>
      <c r="E160" s="29">
        <v>0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9">
        <v>0</v>
      </c>
      <c r="R160" s="29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18">
        <v>0</v>
      </c>
      <c r="AC160" s="29">
        <v>0</v>
      </c>
      <c r="AD160" s="18"/>
      <c r="AE160" s="50"/>
      <c r="AF160" s="50"/>
      <c r="AG160" t="str">
        <f t="shared" si="2"/>
        <v/>
      </c>
    </row>
    <row r="161" spans="1:44" x14ac:dyDescent="0.35">
      <c r="A161" s="4">
        <v>158</v>
      </c>
      <c r="B161" s="42" t="s">
        <v>187</v>
      </c>
      <c r="C161" s="42" t="s">
        <v>397</v>
      </c>
      <c r="D161" s="29">
        <v>0</v>
      </c>
      <c r="E161" s="29">
        <v>0</v>
      </c>
      <c r="F161" s="29">
        <v>0</v>
      </c>
      <c r="G161" s="29">
        <v>0</v>
      </c>
      <c r="H161" s="29">
        <v>0</v>
      </c>
      <c r="I161" s="20">
        <v>1</v>
      </c>
      <c r="J161" s="20">
        <v>1</v>
      </c>
      <c r="K161" s="20">
        <v>1</v>
      </c>
      <c r="L161" s="20">
        <v>1</v>
      </c>
      <c r="M161" s="20">
        <v>1</v>
      </c>
      <c r="N161" s="20">
        <v>1</v>
      </c>
      <c r="O161" s="20">
        <v>1</v>
      </c>
      <c r="P161" s="20">
        <v>1</v>
      </c>
      <c r="Q161" s="20">
        <v>1</v>
      </c>
      <c r="R161" s="20">
        <v>1</v>
      </c>
      <c r="S161" s="20">
        <v>1</v>
      </c>
      <c r="T161" s="20">
        <v>1</v>
      </c>
      <c r="U161" s="20">
        <v>1</v>
      </c>
      <c r="V161" s="20">
        <v>1</v>
      </c>
      <c r="W161" s="20">
        <v>1</v>
      </c>
      <c r="X161" s="20">
        <v>1</v>
      </c>
      <c r="Y161" s="20">
        <v>1</v>
      </c>
      <c r="Z161" s="20">
        <v>1</v>
      </c>
      <c r="AA161" s="20">
        <v>1</v>
      </c>
      <c r="AB161" s="18">
        <v>1</v>
      </c>
      <c r="AC161" s="18">
        <v>1</v>
      </c>
      <c r="AD161" s="18"/>
      <c r="AE161" s="18"/>
      <c r="AF161" s="50">
        <v>1</v>
      </c>
      <c r="AG161" t="str">
        <f t="shared" si="2"/>
        <v xml:space="preserve">2001, 2002, 2003, 2004, 2005, 2006, 2007, 2008, 2009, 2010, 2011, 2012, 2013, 2014, 2015, 2016, 2017, 2018, 2019, 2020, 2021, 2024, </v>
      </c>
      <c r="AH161" s="32" t="s">
        <v>398</v>
      </c>
    </row>
    <row r="162" spans="1:44" x14ac:dyDescent="0.35">
      <c r="A162" s="4">
        <v>159</v>
      </c>
      <c r="B162" s="42" t="s">
        <v>188</v>
      </c>
      <c r="C162" s="42" t="s">
        <v>399</v>
      </c>
      <c r="D162" s="29">
        <v>0</v>
      </c>
      <c r="E162" s="20">
        <v>1</v>
      </c>
      <c r="F162" s="20">
        <v>1</v>
      </c>
      <c r="G162" s="20">
        <v>1</v>
      </c>
      <c r="H162" s="20">
        <v>1</v>
      </c>
      <c r="I162" s="20">
        <v>1</v>
      </c>
      <c r="J162" s="20">
        <v>1</v>
      </c>
      <c r="K162" s="20">
        <v>1</v>
      </c>
      <c r="L162" s="20">
        <v>1</v>
      </c>
      <c r="M162" s="20">
        <v>1</v>
      </c>
      <c r="N162" s="20">
        <v>1</v>
      </c>
      <c r="O162" s="20">
        <v>1</v>
      </c>
      <c r="P162" s="20">
        <v>1</v>
      </c>
      <c r="Q162" s="20">
        <v>1</v>
      </c>
      <c r="R162" s="20">
        <v>1</v>
      </c>
      <c r="S162" s="20">
        <v>1</v>
      </c>
      <c r="T162" s="20">
        <v>1</v>
      </c>
      <c r="U162" s="20">
        <v>1</v>
      </c>
      <c r="V162" s="20">
        <v>1</v>
      </c>
      <c r="W162" s="20">
        <v>1</v>
      </c>
      <c r="X162" s="20">
        <v>1</v>
      </c>
      <c r="Y162" s="20">
        <v>1</v>
      </c>
      <c r="Z162" s="20">
        <v>1</v>
      </c>
      <c r="AA162" s="20">
        <v>1</v>
      </c>
      <c r="AB162" s="18">
        <v>1</v>
      </c>
      <c r="AC162" s="18">
        <v>1</v>
      </c>
      <c r="AD162" s="52">
        <v>1</v>
      </c>
      <c r="AE162" s="18"/>
      <c r="AF162" s="50"/>
      <c r="AG162" t="str">
        <f t="shared" si="2"/>
        <v xml:space="preserve">1997, 1998, 1999, 2000, 2001, 2002, 2003, 2004, 2005, 2006, 2007, 2008, 2009, 2010, 2011, 2012, 2013, 2014, 2015, 2016, 2017, 2018, 2019, 2020, 2021, 2022, </v>
      </c>
      <c r="AH162" s="32" t="s">
        <v>400</v>
      </c>
      <c r="AI162" s="33"/>
      <c r="AR162" s="32" t="s">
        <v>401</v>
      </c>
    </row>
    <row r="163" spans="1:44" x14ac:dyDescent="0.35">
      <c r="A163" s="4">
        <v>160</v>
      </c>
      <c r="B163" s="42" t="s">
        <v>189</v>
      </c>
      <c r="C163" s="42" t="s">
        <v>402</v>
      </c>
      <c r="D163" s="29">
        <v>1</v>
      </c>
      <c r="E163" s="20">
        <v>1</v>
      </c>
      <c r="F163" s="20">
        <v>1</v>
      </c>
      <c r="G163" s="20">
        <v>1</v>
      </c>
      <c r="H163" s="20">
        <v>1</v>
      </c>
      <c r="I163" s="20">
        <v>1</v>
      </c>
      <c r="J163" s="20">
        <v>1</v>
      </c>
      <c r="K163" s="20">
        <v>1</v>
      </c>
      <c r="L163" s="20">
        <v>1</v>
      </c>
      <c r="M163" s="20">
        <v>1</v>
      </c>
      <c r="N163" s="20">
        <v>1</v>
      </c>
      <c r="O163" s="20">
        <v>1</v>
      </c>
      <c r="P163" s="20">
        <v>1</v>
      </c>
      <c r="Q163" s="20">
        <v>1</v>
      </c>
      <c r="R163" s="20">
        <v>1</v>
      </c>
      <c r="S163" s="20">
        <v>1</v>
      </c>
      <c r="T163" s="20">
        <v>1</v>
      </c>
      <c r="U163" s="20">
        <v>1</v>
      </c>
      <c r="V163" s="20">
        <v>1</v>
      </c>
      <c r="W163" s="20">
        <v>1</v>
      </c>
      <c r="X163" s="20">
        <v>1</v>
      </c>
      <c r="Y163" s="20">
        <v>1</v>
      </c>
      <c r="Z163" s="20">
        <v>1</v>
      </c>
      <c r="AA163" s="20">
        <v>1</v>
      </c>
      <c r="AB163" s="18">
        <v>1</v>
      </c>
      <c r="AC163" s="18">
        <v>1</v>
      </c>
      <c r="AD163" s="18"/>
      <c r="AE163" s="18"/>
      <c r="AF163" s="50"/>
      <c r="AG163" t="str">
        <f t="shared" si="2"/>
        <v xml:space="preserve">1996, 1997, 1998, 1999, 2000, 2001, 2002, 2003, 2004, 2005, 2006, 2007, 2008, 2009, 2010, 2011, 2012, 2013, 2014, 2015, 2016, 2017, 2018, 2019, 2020, 2021, </v>
      </c>
      <c r="AH163" s="33" t="s">
        <v>403</v>
      </c>
      <c r="AI163" s="32" t="s">
        <v>404</v>
      </c>
    </row>
    <row r="164" spans="1:44" x14ac:dyDescent="0.35">
      <c r="A164" s="4">
        <v>161</v>
      </c>
      <c r="B164" s="42" t="s">
        <v>190</v>
      </c>
      <c r="C164" s="42" t="s">
        <v>405</v>
      </c>
      <c r="D164" s="29">
        <v>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1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18">
        <v>0</v>
      </c>
      <c r="AC164" s="50"/>
      <c r="AD164" s="50"/>
      <c r="AE164" s="50"/>
      <c r="AF164" s="50"/>
      <c r="AG164" t="str">
        <f t="shared" si="2"/>
        <v xml:space="preserve">2010, </v>
      </c>
    </row>
    <row r="165" spans="1:44" x14ac:dyDescent="0.35">
      <c r="A165" s="4">
        <v>162</v>
      </c>
      <c r="B165" s="42" t="s">
        <v>191</v>
      </c>
      <c r="C165" s="42" t="s">
        <v>406</v>
      </c>
      <c r="D165" s="29">
        <v>0</v>
      </c>
      <c r="E165" s="29">
        <v>0</v>
      </c>
      <c r="F165" s="29">
        <v>0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18">
        <v>0</v>
      </c>
      <c r="AC165" s="50">
        <v>1</v>
      </c>
      <c r="AD165" s="50"/>
      <c r="AE165" s="50"/>
      <c r="AF165" s="50">
        <v>1</v>
      </c>
      <c r="AG165" t="str">
        <f t="shared" si="2"/>
        <v xml:space="preserve">2021, 2024, </v>
      </c>
      <c r="AH165" s="32" t="s">
        <v>407</v>
      </c>
    </row>
    <row r="166" spans="1:44" x14ac:dyDescent="0.35">
      <c r="A166" s="4">
        <v>163</v>
      </c>
      <c r="B166" s="42" t="s">
        <v>192</v>
      </c>
      <c r="C166" s="42" t="s">
        <v>408</v>
      </c>
      <c r="D166" s="29">
        <v>0</v>
      </c>
      <c r="E166" s="29">
        <v>0</v>
      </c>
      <c r="F166" s="20">
        <v>1</v>
      </c>
      <c r="G166" s="20">
        <v>1</v>
      </c>
      <c r="H166" s="20">
        <v>1</v>
      </c>
      <c r="I166" s="20">
        <v>1</v>
      </c>
      <c r="J166" s="20">
        <v>1</v>
      </c>
      <c r="K166" s="20">
        <v>1</v>
      </c>
      <c r="L166" s="20">
        <v>1</v>
      </c>
      <c r="M166" s="20">
        <v>1</v>
      </c>
      <c r="N166" s="20">
        <v>1</v>
      </c>
      <c r="O166" s="20">
        <v>1</v>
      </c>
      <c r="P166" s="20">
        <v>1</v>
      </c>
      <c r="Q166" s="20">
        <v>1</v>
      </c>
      <c r="R166" s="20">
        <v>1</v>
      </c>
      <c r="S166" s="20">
        <v>1</v>
      </c>
      <c r="T166" s="20">
        <v>1</v>
      </c>
      <c r="U166" s="20">
        <v>1</v>
      </c>
      <c r="V166" s="20">
        <v>1</v>
      </c>
      <c r="W166" s="20">
        <v>1</v>
      </c>
      <c r="X166" s="20">
        <v>1</v>
      </c>
      <c r="Y166" s="20">
        <v>1</v>
      </c>
      <c r="Z166" s="20">
        <v>1</v>
      </c>
      <c r="AA166" s="20">
        <v>1</v>
      </c>
      <c r="AB166" s="18">
        <v>1</v>
      </c>
      <c r="AC166" s="18">
        <v>1</v>
      </c>
      <c r="AD166" s="18">
        <v>1</v>
      </c>
      <c r="AE166" s="18">
        <v>1</v>
      </c>
      <c r="AF166" s="50">
        <v>1</v>
      </c>
      <c r="AG166" t="str">
        <f t="shared" si="2"/>
        <v xml:space="preserve">1998, 1999, 2000, 2001, 2002, 2003, 2004, 2005, 2006, 2007, 2008, 2009, 2010, 2011, 2012, 2013, 2014, 2015, 2016, 2017, 2018, 2019, 2020, 2021, 2022, 2023, 2024, </v>
      </c>
      <c r="AH166" s="33" t="s">
        <v>409</v>
      </c>
      <c r="AI166" s="32" t="s">
        <v>410</v>
      </c>
      <c r="AJ166" s="32" t="s">
        <v>411</v>
      </c>
      <c r="AK166" t="s">
        <v>412</v>
      </c>
    </row>
    <row r="167" spans="1:44" x14ac:dyDescent="0.35">
      <c r="A167" s="4">
        <v>164</v>
      </c>
      <c r="B167" s="42" t="s">
        <v>193</v>
      </c>
      <c r="C167" s="42" t="s">
        <v>413</v>
      </c>
      <c r="D167" s="29">
        <v>0</v>
      </c>
      <c r="E167" s="29">
        <v>0</v>
      </c>
      <c r="F167" s="20">
        <v>1</v>
      </c>
      <c r="G167" s="20">
        <v>1</v>
      </c>
      <c r="H167" s="20">
        <v>1</v>
      </c>
      <c r="I167" s="20">
        <v>1</v>
      </c>
      <c r="J167" s="20">
        <v>1</v>
      </c>
      <c r="K167" s="20">
        <v>1</v>
      </c>
      <c r="L167" s="20">
        <v>1</v>
      </c>
      <c r="M167" s="20">
        <v>1</v>
      </c>
      <c r="N167" s="20">
        <v>1</v>
      </c>
      <c r="O167" s="20">
        <v>1</v>
      </c>
      <c r="P167" s="20">
        <v>1</v>
      </c>
      <c r="Q167" s="20">
        <v>1</v>
      </c>
      <c r="R167" s="20">
        <v>1</v>
      </c>
      <c r="S167" s="20">
        <v>1</v>
      </c>
      <c r="T167" s="20">
        <v>1</v>
      </c>
      <c r="U167" s="20">
        <v>1</v>
      </c>
      <c r="V167" s="20">
        <v>1</v>
      </c>
      <c r="W167" s="20">
        <v>1</v>
      </c>
      <c r="X167" s="20">
        <v>1</v>
      </c>
      <c r="Y167" s="20">
        <v>1</v>
      </c>
      <c r="Z167" s="18">
        <v>0</v>
      </c>
      <c r="AA167" s="18">
        <v>1</v>
      </c>
      <c r="AB167" s="18">
        <v>1</v>
      </c>
      <c r="AC167" s="18">
        <v>1</v>
      </c>
      <c r="AD167" s="18"/>
      <c r="AE167" s="18"/>
      <c r="AF167" s="50"/>
      <c r="AG167" t="str">
        <f t="shared" si="2"/>
        <v xml:space="preserve">1998, 1999, 2000, 2001, 2002, 2003, 2004, 2005, 2006, 2007, 2008, 2009, 2010, 2011, 2012, 2013, 2014, 2015, 2016, 2017, 2019, 2020, 2021, </v>
      </c>
      <c r="AH167" s="33" t="s">
        <v>414</v>
      </c>
      <c r="AI167" s="33" t="s">
        <v>415</v>
      </c>
    </row>
    <row r="168" spans="1:44" x14ac:dyDescent="0.35">
      <c r="A168" s="4">
        <v>165</v>
      </c>
      <c r="B168" s="42" t="s">
        <v>194</v>
      </c>
      <c r="C168" s="42" t="s">
        <v>416</v>
      </c>
      <c r="D168" s="20">
        <v>1</v>
      </c>
      <c r="E168" s="20">
        <v>1</v>
      </c>
      <c r="F168" s="20">
        <v>1</v>
      </c>
      <c r="G168" s="20">
        <v>1</v>
      </c>
      <c r="H168" s="20">
        <v>1</v>
      </c>
      <c r="I168" s="20">
        <v>1</v>
      </c>
      <c r="J168" s="20">
        <v>1</v>
      </c>
      <c r="K168" s="20">
        <v>1</v>
      </c>
      <c r="L168" s="20">
        <v>1</v>
      </c>
      <c r="M168" s="20">
        <v>1</v>
      </c>
      <c r="N168" s="20">
        <v>1</v>
      </c>
      <c r="O168" s="20">
        <v>1</v>
      </c>
      <c r="P168" s="20">
        <v>1</v>
      </c>
      <c r="Q168" s="20">
        <v>1</v>
      </c>
      <c r="R168" s="20">
        <v>1</v>
      </c>
      <c r="S168" s="20">
        <v>1</v>
      </c>
      <c r="T168" s="20">
        <v>1</v>
      </c>
      <c r="U168" s="20">
        <v>1</v>
      </c>
      <c r="V168" s="20">
        <v>1</v>
      </c>
      <c r="W168" s="20">
        <v>1</v>
      </c>
      <c r="X168" s="20">
        <v>1</v>
      </c>
      <c r="Y168" s="20">
        <v>1</v>
      </c>
      <c r="Z168" s="20">
        <v>1</v>
      </c>
      <c r="AA168" s="18">
        <v>1</v>
      </c>
      <c r="AB168" s="18">
        <v>1</v>
      </c>
      <c r="AC168" s="18">
        <v>1</v>
      </c>
      <c r="AD168" s="18"/>
      <c r="AE168" s="18"/>
      <c r="AF168" s="50">
        <v>1</v>
      </c>
      <c r="AG168" t="str">
        <f t="shared" si="2"/>
        <v xml:space="preserve">1996, 1997, 1998, 1999, 2000, 2001, 2002, 2003, 2004, 2005, 2006, 2007, 2008, 2009, 2010, 2011, 2012, 2013, 2014, 2015, 2016, 2017, 2018, 2019, 2020, 2021, 2024, </v>
      </c>
      <c r="AH168" s="33" t="s">
        <v>417</v>
      </c>
      <c r="AI168" s="33" t="s">
        <v>417</v>
      </c>
      <c r="AJ168" s="33" t="s">
        <v>418</v>
      </c>
    </row>
    <row r="169" spans="1:44" x14ac:dyDescent="0.35">
      <c r="A169" s="4">
        <v>166</v>
      </c>
      <c r="B169" s="42" t="s">
        <v>195</v>
      </c>
      <c r="C169" s="42" t="s">
        <v>419</v>
      </c>
      <c r="D169" s="20">
        <v>1</v>
      </c>
      <c r="E169" s="20">
        <v>1</v>
      </c>
      <c r="F169" s="20">
        <v>1</v>
      </c>
      <c r="G169" s="20">
        <v>1</v>
      </c>
      <c r="H169" s="20">
        <v>1</v>
      </c>
      <c r="I169" s="20">
        <v>1</v>
      </c>
      <c r="J169" s="20">
        <v>1</v>
      </c>
      <c r="K169" s="20">
        <v>1</v>
      </c>
      <c r="L169" s="20">
        <v>1</v>
      </c>
      <c r="M169" s="20">
        <v>1</v>
      </c>
      <c r="N169" s="20">
        <v>1</v>
      </c>
      <c r="O169" s="20">
        <v>1</v>
      </c>
      <c r="P169" s="20">
        <v>1</v>
      </c>
      <c r="Q169" s="20">
        <v>1</v>
      </c>
      <c r="R169" s="20">
        <v>1</v>
      </c>
      <c r="S169" s="20">
        <v>1</v>
      </c>
      <c r="T169" s="20">
        <v>1</v>
      </c>
      <c r="U169" s="20">
        <v>1</v>
      </c>
      <c r="V169" s="20">
        <v>1</v>
      </c>
      <c r="W169" s="20">
        <v>1</v>
      </c>
      <c r="X169" s="20">
        <v>1</v>
      </c>
      <c r="Y169" s="20">
        <v>1</v>
      </c>
      <c r="Z169" s="20">
        <v>1</v>
      </c>
      <c r="AA169" s="18">
        <v>1</v>
      </c>
      <c r="AB169" s="18">
        <v>1</v>
      </c>
      <c r="AC169" s="18">
        <v>1</v>
      </c>
      <c r="AD169" s="50"/>
      <c r="AE169" s="50"/>
      <c r="AF169" s="50"/>
      <c r="AG169" t="str">
        <f t="shared" si="2"/>
        <v xml:space="preserve">1996, 1997, 1998, 1999, 2000, 2001, 2002, 2003, 2004, 2005, 2006, 2007, 2008, 2009, 2010, 2011, 2012, 2013, 2014, 2015, 2016, 2017, 2018, 2019, 2020, 2021, </v>
      </c>
      <c r="AH169" s="33" t="s">
        <v>420</v>
      </c>
      <c r="AI169" s="33" t="s">
        <v>421</v>
      </c>
      <c r="AJ169" s="33" t="s">
        <v>422</v>
      </c>
      <c r="AK169" t="s">
        <v>423</v>
      </c>
    </row>
    <row r="170" spans="1:44" x14ac:dyDescent="0.35">
      <c r="A170" s="4">
        <v>167</v>
      </c>
      <c r="B170" s="42" t="s">
        <v>196</v>
      </c>
      <c r="C170" s="42" t="s">
        <v>424</v>
      </c>
      <c r="D170" s="29">
        <v>0</v>
      </c>
      <c r="E170" s="29">
        <v>0</v>
      </c>
      <c r="F170" s="29">
        <v>0</v>
      </c>
      <c r="G170" s="20">
        <v>1</v>
      </c>
      <c r="H170" s="20">
        <v>1</v>
      </c>
      <c r="I170" s="20">
        <v>1</v>
      </c>
      <c r="J170" s="20">
        <v>1</v>
      </c>
      <c r="K170" s="20">
        <v>1</v>
      </c>
      <c r="L170" s="20">
        <v>1</v>
      </c>
      <c r="M170" s="20">
        <v>1</v>
      </c>
      <c r="N170" s="20">
        <v>1</v>
      </c>
      <c r="O170" s="20">
        <v>1</v>
      </c>
      <c r="P170" s="20">
        <v>1</v>
      </c>
      <c r="Q170" s="20">
        <v>1</v>
      </c>
      <c r="R170" s="20">
        <v>1</v>
      </c>
      <c r="S170" s="20">
        <v>1</v>
      </c>
      <c r="T170" s="20">
        <v>1</v>
      </c>
      <c r="U170" s="20">
        <v>1</v>
      </c>
      <c r="V170" s="20">
        <v>1</v>
      </c>
      <c r="W170" s="20">
        <v>1</v>
      </c>
      <c r="X170" s="20">
        <v>1</v>
      </c>
      <c r="Y170" s="20">
        <v>1</v>
      </c>
      <c r="Z170" s="20">
        <v>1</v>
      </c>
      <c r="AA170" s="20">
        <v>1</v>
      </c>
      <c r="AB170" s="18">
        <v>1</v>
      </c>
      <c r="AC170" s="18">
        <v>1</v>
      </c>
      <c r="AD170" s="50"/>
      <c r="AE170" s="50"/>
      <c r="AF170" s="50">
        <v>1</v>
      </c>
      <c r="AG170" t="str">
        <f t="shared" si="2"/>
        <v xml:space="preserve">1999, 2000, 2001, 2002, 2003, 2004, 2005, 2006, 2007, 2008, 2009, 2010, 2011, 2012, 2013, 2014, 2015, 2016, 2017, 2018, 2019, 2020, 2021, 2024, </v>
      </c>
      <c r="AH170" s="33" t="s">
        <v>425</v>
      </c>
      <c r="AI170" s="33" t="s">
        <v>426</v>
      </c>
      <c r="AJ170" s="33" t="s">
        <v>425</v>
      </c>
      <c r="AK170" s="33" t="s">
        <v>427</v>
      </c>
    </row>
    <row r="171" spans="1:44" x14ac:dyDescent="0.35">
      <c r="A171" s="4">
        <v>168</v>
      </c>
      <c r="B171" s="42" t="s">
        <v>197</v>
      </c>
      <c r="C171" s="42" t="s">
        <v>428</v>
      </c>
      <c r="D171" s="20">
        <v>1</v>
      </c>
      <c r="E171" s="20">
        <v>1</v>
      </c>
      <c r="F171" s="20">
        <v>1</v>
      </c>
      <c r="G171" s="20">
        <v>1</v>
      </c>
      <c r="H171" s="20">
        <v>1</v>
      </c>
      <c r="I171" s="20">
        <v>1</v>
      </c>
      <c r="J171" s="20">
        <v>1</v>
      </c>
      <c r="K171" s="20">
        <v>1</v>
      </c>
      <c r="L171" s="20">
        <v>1</v>
      </c>
      <c r="M171" s="20">
        <v>1</v>
      </c>
      <c r="N171" s="20">
        <v>1</v>
      </c>
      <c r="O171" s="20">
        <v>1</v>
      </c>
      <c r="P171" s="20">
        <v>1</v>
      </c>
      <c r="Q171" s="20">
        <v>1</v>
      </c>
      <c r="R171" s="20">
        <v>1</v>
      </c>
      <c r="S171" s="20">
        <v>1</v>
      </c>
      <c r="T171" s="20">
        <v>1</v>
      </c>
      <c r="U171" s="20">
        <v>1</v>
      </c>
      <c r="V171" s="20">
        <v>1</v>
      </c>
      <c r="W171" s="20">
        <v>1</v>
      </c>
      <c r="X171" s="20">
        <v>1</v>
      </c>
      <c r="Y171" s="20">
        <v>1</v>
      </c>
      <c r="Z171" s="20">
        <v>1</v>
      </c>
      <c r="AA171" s="29">
        <v>1</v>
      </c>
      <c r="AB171" s="18">
        <v>1</v>
      </c>
      <c r="AC171" s="18">
        <v>1</v>
      </c>
      <c r="AD171" s="50"/>
      <c r="AE171" s="50"/>
      <c r="AF171" s="50">
        <v>1</v>
      </c>
      <c r="AG171" t="str">
        <f t="shared" si="2"/>
        <v xml:space="preserve">1996, 1997, 1998, 1999, 2000, 2001, 2002, 2003, 2004, 2005, 2006, 2007, 2008, 2009, 2010, 2011, 2012, 2013, 2014, 2015, 2016, 2017, 2018, 2019, 2020, 2021, 2024, </v>
      </c>
      <c r="AH171" s="33" t="s">
        <v>429</v>
      </c>
      <c r="AI171" s="33" t="s">
        <v>430</v>
      </c>
    </row>
    <row r="172" spans="1:44" x14ac:dyDescent="0.35">
      <c r="A172" s="4">
        <v>169</v>
      </c>
      <c r="B172" s="42" t="s">
        <v>198</v>
      </c>
      <c r="C172" s="42" t="s">
        <v>431</v>
      </c>
      <c r="D172" s="20">
        <v>1</v>
      </c>
      <c r="E172" s="20">
        <v>1</v>
      </c>
      <c r="F172" s="20">
        <v>1</v>
      </c>
      <c r="G172" s="20">
        <v>1</v>
      </c>
      <c r="H172" s="20">
        <v>1</v>
      </c>
      <c r="I172" s="20">
        <v>1</v>
      </c>
      <c r="J172" s="20">
        <v>1</v>
      </c>
      <c r="K172" s="20">
        <v>1</v>
      </c>
      <c r="L172" s="20">
        <v>1</v>
      </c>
      <c r="M172" s="20">
        <v>1</v>
      </c>
      <c r="N172" s="20">
        <v>1</v>
      </c>
      <c r="O172" s="20">
        <v>1</v>
      </c>
      <c r="P172" s="20">
        <v>1</v>
      </c>
      <c r="Q172" s="20">
        <v>1</v>
      </c>
      <c r="R172" s="20">
        <v>1</v>
      </c>
      <c r="S172" s="20">
        <v>1</v>
      </c>
      <c r="T172" s="20">
        <v>1</v>
      </c>
      <c r="U172" s="20">
        <v>1</v>
      </c>
      <c r="V172" s="20">
        <v>1</v>
      </c>
      <c r="W172" s="20">
        <v>1</v>
      </c>
      <c r="X172" s="20">
        <v>1</v>
      </c>
      <c r="Y172" s="20">
        <v>1</v>
      </c>
      <c r="Z172" s="20">
        <v>1</v>
      </c>
      <c r="AA172" s="20">
        <v>1</v>
      </c>
      <c r="AB172" s="18">
        <v>1</v>
      </c>
      <c r="AC172" s="18">
        <v>1</v>
      </c>
      <c r="AD172" s="50"/>
      <c r="AE172" s="50"/>
      <c r="AF172" s="50"/>
      <c r="AG172" t="str">
        <f t="shared" si="2"/>
        <v xml:space="preserve">1996, 1997, 1998, 1999, 2000, 2001, 2002, 2003, 2004, 2005, 2006, 2007, 2008, 2009, 2010, 2011, 2012, 2013, 2014, 2015, 2016, 2017, 2018, 2019, 2020, 2021, </v>
      </c>
      <c r="AH172" s="33" t="s">
        <v>432</v>
      </c>
      <c r="AI172" s="33" t="s">
        <v>433</v>
      </c>
      <c r="AJ172" s="33" t="s">
        <v>434</v>
      </c>
      <c r="AK172" s="33" t="s">
        <v>435</v>
      </c>
      <c r="AL172" t="s">
        <v>434</v>
      </c>
    </row>
    <row r="173" spans="1:44" x14ac:dyDescent="0.35">
      <c r="A173" s="4">
        <v>170</v>
      </c>
      <c r="B173" s="42" t="s">
        <v>199</v>
      </c>
      <c r="C173" s="42" t="s">
        <v>436</v>
      </c>
      <c r="D173" s="20">
        <v>1</v>
      </c>
      <c r="E173" s="20">
        <v>1</v>
      </c>
      <c r="F173" s="20">
        <v>1</v>
      </c>
      <c r="G173" s="20">
        <v>1</v>
      </c>
      <c r="H173" s="20">
        <v>1</v>
      </c>
      <c r="I173" s="20">
        <v>1</v>
      </c>
      <c r="J173" s="20">
        <v>1</v>
      </c>
      <c r="K173" s="20">
        <v>1</v>
      </c>
      <c r="L173" s="20">
        <v>1</v>
      </c>
      <c r="M173" s="20">
        <v>1</v>
      </c>
      <c r="N173" s="20">
        <v>1</v>
      </c>
      <c r="O173" s="20">
        <v>1</v>
      </c>
      <c r="P173" s="20">
        <v>1</v>
      </c>
      <c r="Q173" s="20">
        <v>1</v>
      </c>
      <c r="R173" s="20">
        <v>1</v>
      </c>
      <c r="S173" s="20">
        <v>1</v>
      </c>
      <c r="T173" s="20">
        <v>1</v>
      </c>
      <c r="U173" s="20">
        <v>1</v>
      </c>
      <c r="V173" s="20">
        <v>1</v>
      </c>
      <c r="W173" s="20">
        <v>1</v>
      </c>
      <c r="X173" s="20">
        <v>1</v>
      </c>
      <c r="Y173" s="20">
        <v>1</v>
      </c>
      <c r="Z173" s="20">
        <v>1</v>
      </c>
      <c r="AA173" s="20">
        <v>1</v>
      </c>
      <c r="AB173" s="18">
        <v>1</v>
      </c>
      <c r="AC173" s="18">
        <v>1</v>
      </c>
      <c r="AD173" s="50"/>
      <c r="AE173" s="50"/>
      <c r="AF173" s="50"/>
      <c r="AG173" t="str">
        <f t="shared" si="2"/>
        <v xml:space="preserve">1996, 1997, 1998, 1999, 2000, 2001, 2002, 2003, 2004, 2005, 2006, 2007, 2008, 2009, 2010, 2011, 2012, 2013, 2014, 2015, 2016, 2017, 2018, 2019, 2020, 2021, </v>
      </c>
      <c r="AH173" s="33" t="s">
        <v>437</v>
      </c>
      <c r="AI173" s="32" t="s">
        <v>438</v>
      </c>
      <c r="AJ173" t="s">
        <v>439</v>
      </c>
    </row>
    <row r="174" spans="1:44" x14ac:dyDescent="0.35">
      <c r="A174" s="4">
        <v>171</v>
      </c>
      <c r="B174" s="42" t="s">
        <v>200</v>
      </c>
      <c r="C174" s="42" t="s">
        <v>440</v>
      </c>
      <c r="D174" s="20">
        <v>1</v>
      </c>
      <c r="E174" s="20">
        <v>1</v>
      </c>
      <c r="F174" s="20">
        <v>1</v>
      </c>
      <c r="G174" s="20">
        <v>1</v>
      </c>
      <c r="H174" s="20">
        <v>1</v>
      </c>
      <c r="I174" s="20">
        <v>1</v>
      </c>
      <c r="J174" s="20">
        <v>1</v>
      </c>
      <c r="K174" s="20">
        <v>1</v>
      </c>
      <c r="L174" s="20">
        <v>1</v>
      </c>
      <c r="M174" s="20">
        <v>1</v>
      </c>
      <c r="N174" s="20">
        <v>1</v>
      </c>
      <c r="O174" s="20">
        <v>1</v>
      </c>
      <c r="P174" s="20">
        <v>1</v>
      </c>
      <c r="Q174" s="20">
        <v>1</v>
      </c>
      <c r="R174" s="20">
        <v>1</v>
      </c>
      <c r="S174" s="20">
        <v>1</v>
      </c>
      <c r="T174" s="20">
        <v>1</v>
      </c>
      <c r="U174" s="20">
        <v>1</v>
      </c>
      <c r="V174" s="20">
        <v>1</v>
      </c>
      <c r="W174" s="20">
        <v>1</v>
      </c>
      <c r="X174" s="20">
        <v>1</v>
      </c>
      <c r="Y174" s="20">
        <v>1</v>
      </c>
      <c r="Z174" s="20">
        <v>1</v>
      </c>
      <c r="AA174" s="20">
        <v>1</v>
      </c>
      <c r="AB174" s="20">
        <v>1</v>
      </c>
      <c r="AC174" s="20">
        <v>1</v>
      </c>
      <c r="AD174" s="51"/>
      <c r="AE174" s="51"/>
      <c r="AF174" s="51">
        <v>1</v>
      </c>
      <c r="AG174" t="str">
        <f t="shared" si="2"/>
        <v xml:space="preserve">1996, 1997, 1998, 1999, 2000, 2001, 2002, 2003, 2004, 2005, 2006, 2007, 2008, 2009, 2010, 2011, 2012, 2013, 2014, 2015, 2016, 2017, 2018, 2019, 2020, 2021, 2024, </v>
      </c>
      <c r="AH174" s="33" t="s">
        <v>441</v>
      </c>
      <c r="AI174" s="33" t="s">
        <v>442</v>
      </c>
      <c r="AJ174" t="s">
        <v>443</v>
      </c>
      <c r="AK174" t="s">
        <v>444</v>
      </c>
      <c r="AL174" t="s">
        <v>445</v>
      </c>
    </row>
    <row r="175" spans="1:44" x14ac:dyDescent="0.35">
      <c r="A175" s="4">
        <v>172</v>
      </c>
      <c r="B175" s="42" t="s">
        <v>201</v>
      </c>
      <c r="C175" s="42" t="s">
        <v>446</v>
      </c>
      <c r="D175" s="20">
        <v>1</v>
      </c>
      <c r="E175" s="20">
        <v>1</v>
      </c>
      <c r="F175" s="20">
        <v>1</v>
      </c>
      <c r="G175" s="20">
        <v>1</v>
      </c>
      <c r="H175" s="20">
        <v>1</v>
      </c>
      <c r="I175" s="20">
        <v>1</v>
      </c>
      <c r="J175" s="20">
        <v>1</v>
      </c>
      <c r="K175" s="20">
        <v>1</v>
      </c>
      <c r="L175" s="20">
        <v>1</v>
      </c>
      <c r="M175" s="20">
        <v>1</v>
      </c>
      <c r="N175" s="20">
        <v>1</v>
      </c>
      <c r="O175" s="20">
        <v>1</v>
      </c>
      <c r="P175" s="20">
        <v>1</v>
      </c>
      <c r="Q175" s="20">
        <v>1</v>
      </c>
      <c r="R175" s="20">
        <v>1</v>
      </c>
      <c r="S175" s="20">
        <v>1</v>
      </c>
      <c r="T175" s="20">
        <v>1</v>
      </c>
      <c r="U175" s="20">
        <v>1</v>
      </c>
      <c r="V175" s="20">
        <v>1</v>
      </c>
      <c r="W175" s="20">
        <v>1</v>
      </c>
      <c r="X175" s="20">
        <v>1</v>
      </c>
      <c r="Y175" s="20">
        <v>1</v>
      </c>
      <c r="Z175" s="20">
        <v>1</v>
      </c>
      <c r="AA175" s="20">
        <v>1</v>
      </c>
      <c r="AB175" s="18">
        <v>1</v>
      </c>
      <c r="AC175" s="18">
        <v>1</v>
      </c>
      <c r="AD175" s="50">
        <v>1</v>
      </c>
      <c r="AE175" s="50">
        <v>1</v>
      </c>
      <c r="AF175" s="50">
        <v>1</v>
      </c>
      <c r="AG175" t="str">
        <f t="shared" si="2"/>
        <v xml:space="preserve">1996, 1997, 1998, 1999, 2000, 2001, 2002, 2003, 2004, 2005, 2006, 2007, 2008, 2009, 2010, 2011, 2012, 2013, 2014, 2015, 2016, 2017, 2018, 2019, 2020, 2021, 2022, 2023, 2024, </v>
      </c>
      <c r="AH175" s="34" t="s">
        <v>447</v>
      </c>
      <c r="AI175" s="34" t="s">
        <v>448</v>
      </c>
      <c r="AJ175" s="34" t="s">
        <v>449</v>
      </c>
      <c r="AK175" s="34" t="s">
        <v>450</v>
      </c>
      <c r="AL175" s="34" t="s">
        <v>451</v>
      </c>
      <c r="AM175" t="s">
        <v>452</v>
      </c>
    </row>
    <row r="176" spans="1:44" x14ac:dyDescent="0.35">
      <c r="A176" s="4">
        <v>173</v>
      </c>
      <c r="B176" s="42" t="s">
        <v>202</v>
      </c>
      <c r="C176" s="42" t="s">
        <v>453</v>
      </c>
      <c r="D176" s="29">
        <v>0</v>
      </c>
      <c r="E176" s="29">
        <v>0</v>
      </c>
      <c r="F176" s="20">
        <v>1</v>
      </c>
      <c r="G176" s="20">
        <v>1</v>
      </c>
      <c r="H176" s="20">
        <v>1</v>
      </c>
      <c r="I176" s="20">
        <v>1</v>
      </c>
      <c r="J176" s="20">
        <v>1</v>
      </c>
      <c r="K176" s="20">
        <v>1</v>
      </c>
      <c r="L176" s="20">
        <v>1</v>
      </c>
      <c r="M176" s="20">
        <v>1</v>
      </c>
      <c r="N176" s="20">
        <v>1</v>
      </c>
      <c r="O176" s="20">
        <v>1</v>
      </c>
      <c r="P176" s="20">
        <v>1</v>
      </c>
      <c r="Q176" s="20">
        <v>1</v>
      </c>
      <c r="R176" s="20">
        <v>1</v>
      </c>
      <c r="S176" s="20">
        <v>1</v>
      </c>
      <c r="T176" s="20">
        <v>1</v>
      </c>
      <c r="U176" s="20">
        <v>1</v>
      </c>
      <c r="V176" s="20">
        <v>1</v>
      </c>
      <c r="W176" s="20">
        <v>1</v>
      </c>
      <c r="X176" s="20">
        <v>1</v>
      </c>
      <c r="Y176" s="20">
        <v>1</v>
      </c>
      <c r="Z176" s="20">
        <v>1</v>
      </c>
      <c r="AA176" s="29">
        <v>0</v>
      </c>
      <c r="AB176" s="18">
        <v>1</v>
      </c>
      <c r="AC176" s="18">
        <v>1</v>
      </c>
      <c r="AD176" s="50"/>
      <c r="AE176" s="50"/>
      <c r="AF176" s="50"/>
      <c r="AG176" t="str">
        <f t="shared" si="2"/>
        <v xml:space="preserve">1998, 1999, 2000, 2001, 2002, 2003, 2004, 2005, 2006, 2007, 2008, 2009, 2010, 2011, 2012, 2013, 2014, 2015, 2016, 2017, 2018, 2020, 2021, </v>
      </c>
      <c r="AH176" s="33" t="s">
        <v>454</v>
      </c>
      <c r="AI176" s="33" t="s">
        <v>455</v>
      </c>
      <c r="AJ176" s="32" t="s">
        <v>456</v>
      </c>
    </row>
    <row r="177" spans="1:39" x14ac:dyDescent="0.35">
      <c r="A177" s="4">
        <v>174</v>
      </c>
      <c r="B177" s="42" t="s">
        <v>203</v>
      </c>
      <c r="C177" s="42" t="s">
        <v>457</v>
      </c>
      <c r="D177" s="29">
        <v>0</v>
      </c>
      <c r="E177" s="29">
        <v>0</v>
      </c>
      <c r="F177" s="29">
        <v>0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20">
        <v>1</v>
      </c>
      <c r="Q177" s="20">
        <v>1</v>
      </c>
      <c r="R177" s="20">
        <v>1</v>
      </c>
      <c r="S177" s="20">
        <v>1</v>
      </c>
      <c r="T177" s="20">
        <v>1</v>
      </c>
      <c r="U177" s="20">
        <v>1</v>
      </c>
      <c r="V177" s="20">
        <v>1</v>
      </c>
      <c r="W177" s="20">
        <v>1</v>
      </c>
      <c r="X177" s="20">
        <v>1</v>
      </c>
      <c r="Y177" s="20">
        <v>1</v>
      </c>
      <c r="Z177" s="20">
        <v>1</v>
      </c>
      <c r="AA177" s="20">
        <v>1</v>
      </c>
      <c r="AB177" s="18">
        <v>1</v>
      </c>
      <c r="AC177" s="18">
        <v>1</v>
      </c>
      <c r="AD177" s="50"/>
      <c r="AE177" s="50"/>
      <c r="AF177" s="50"/>
      <c r="AG177" t="str">
        <f t="shared" si="2"/>
        <v xml:space="preserve">2008, 2009, 2010, 2011, 2012, 2013, 2014, 2015, 2016, 2017, 2018, 2019, 2020, 2021, </v>
      </c>
      <c r="AH177" s="33" t="s">
        <v>458</v>
      </c>
      <c r="AI177" s="32" t="s">
        <v>459</v>
      </c>
      <c r="AJ177" t="s">
        <v>460</v>
      </c>
    </row>
    <row r="178" spans="1:39" x14ac:dyDescent="0.35">
      <c r="A178" s="4">
        <v>175</v>
      </c>
      <c r="B178" s="42" t="s">
        <v>204</v>
      </c>
      <c r="C178" s="42" t="s">
        <v>461</v>
      </c>
      <c r="D178" s="29">
        <v>0</v>
      </c>
      <c r="E178" s="29">
        <v>0</v>
      </c>
      <c r="F178" s="29">
        <v>0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1</v>
      </c>
      <c r="T178" s="29">
        <v>1</v>
      </c>
      <c r="U178" s="29">
        <v>1</v>
      </c>
      <c r="V178" s="29">
        <v>1</v>
      </c>
      <c r="W178" s="29">
        <v>1</v>
      </c>
      <c r="X178" s="29">
        <v>1</v>
      </c>
      <c r="Y178" s="29">
        <v>1</v>
      </c>
      <c r="Z178" s="29">
        <v>1</v>
      </c>
      <c r="AA178" s="29">
        <v>1</v>
      </c>
      <c r="AB178" s="18">
        <v>1</v>
      </c>
      <c r="AC178" s="18">
        <v>1</v>
      </c>
      <c r="AD178" s="50">
        <v>1</v>
      </c>
      <c r="AE178" s="50">
        <v>1</v>
      </c>
      <c r="AF178" s="50"/>
      <c r="AG178" t="str">
        <f t="shared" si="2"/>
        <v xml:space="preserve">2011, 2012, 2013, 2014, 2015, 2016, 2017, 2018, 2019, 2020, 2021, 2022, 2023, </v>
      </c>
      <c r="AH178" s="32" t="s">
        <v>462</v>
      </c>
      <c r="AI178" s="32" t="s">
        <v>463</v>
      </c>
      <c r="AJ178" s="33"/>
    </row>
    <row r="179" spans="1:39" x14ac:dyDescent="0.35">
      <c r="A179" s="4">
        <v>176</v>
      </c>
      <c r="B179" s="42" t="s">
        <v>205</v>
      </c>
      <c r="C179" s="42" t="s">
        <v>464</v>
      </c>
      <c r="D179" s="29">
        <v>0</v>
      </c>
      <c r="E179" s="29">
        <v>0</v>
      </c>
      <c r="F179" s="29">
        <v>0</v>
      </c>
      <c r="G179" s="20">
        <v>1</v>
      </c>
      <c r="H179" s="20">
        <v>1</v>
      </c>
      <c r="I179" s="20">
        <v>1</v>
      </c>
      <c r="J179" s="20">
        <v>1</v>
      </c>
      <c r="K179" s="20">
        <v>1</v>
      </c>
      <c r="L179" s="20">
        <v>1</v>
      </c>
      <c r="M179" s="20">
        <v>1</v>
      </c>
      <c r="N179" s="20">
        <v>1</v>
      </c>
      <c r="O179" s="20">
        <v>1</v>
      </c>
      <c r="P179" s="20">
        <v>1</v>
      </c>
      <c r="Q179" s="20">
        <v>1</v>
      </c>
      <c r="R179" s="20">
        <v>1</v>
      </c>
      <c r="S179" s="20">
        <v>1</v>
      </c>
      <c r="T179" s="20">
        <v>1</v>
      </c>
      <c r="U179" s="20">
        <v>1</v>
      </c>
      <c r="V179" s="20">
        <v>1</v>
      </c>
      <c r="W179" s="20">
        <v>1</v>
      </c>
      <c r="X179" s="20">
        <v>1</v>
      </c>
      <c r="Y179" s="20">
        <v>1</v>
      </c>
      <c r="Z179" s="20">
        <v>1</v>
      </c>
      <c r="AA179" s="20">
        <v>1</v>
      </c>
      <c r="AB179" s="18">
        <v>1</v>
      </c>
      <c r="AC179" s="18">
        <v>1</v>
      </c>
      <c r="AD179" s="50"/>
      <c r="AE179" s="50"/>
      <c r="AF179" s="50"/>
      <c r="AG179" t="str">
        <f t="shared" si="2"/>
        <v xml:space="preserve">1999, 2000, 2001, 2002, 2003, 2004, 2005, 2006, 2007, 2008, 2009, 2010, 2011, 2012, 2013, 2014, 2015, 2016, 2017, 2018, 2019, 2020, 2021, </v>
      </c>
      <c r="AH179" s="32" t="s">
        <v>465</v>
      </c>
      <c r="AI179" t="s">
        <v>466</v>
      </c>
      <c r="AJ179" t="s">
        <v>467</v>
      </c>
      <c r="AK179" t="s">
        <v>468</v>
      </c>
    </row>
    <row r="180" spans="1:39" x14ac:dyDescent="0.35">
      <c r="A180" s="4">
        <v>177</v>
      </c>
      <c r="B180" s="42" t="s">
        <v>206</v>
      </c>
      <c r="C180" s="42" t="s">
        <v>469</v>
      </c>
      <c r="D180" s="29">
        <v>0</v>
      </c>
      <c r="E180" s="29">
        <v>0</v>
      </c>
      <c r="F180" s="29">
        <v>0</v>
      </c>
      <c r="G180" s="29">
        <v>0</v>
      </c>
      <c r="H180" s="29">
        <v>0</v>
      </c>
      <c r="I180" s="20">
        <v>1</v>
      </c>
      <c r="J180" s="20">
        <v>1</v>
      </c>
      <c r="K180" s="20">
        <v>1</v>
      </c>
      <c r="L180" s="20">
        <v>1</v>
      </c>
      <c r="M180" s="20">
        <v>1</v>
      </c>
      <c r="N180" s="20">
        <v>1</v>
      </c>
      <c r="O180" s="20">
        <v>1</v>
      </c>
      <c r="P180" s="20">
        <v>1</v>
      </c>
      <c r="Q180" s="20">
        <v>1</v>
      </c>
      <c r="R180" s="20">
        <v>1</v>
      </c>
      <c r="S180" s="20">
        <v>1</v>
      </c>
      <c r="T180" s="20">
        <v>1</v>
      </c>
      <c r="U180" s="20">
        <v>1</v>
      </c>
      <c r="V180" s="20">
        <v>1</v>
      </c>
      <c r="W180" s="20">
        <v>1</v>
      </c>
      <c r="X180" s="20">
        <v>1</v>
      </c>
      <c r="Y180" s="20">
        <v>1</v>
      </c>
      <c r="Z180" s="20">
        <v>1</v>
      </c>
      <c r="AA180" s="20">
        <v>1</v>
      </c>
      <c r="AB180" s="18">
        <v>1</v>
      </c>
      <c r="AC180" s="18">
        <v>1</v>
      </c>
      <c r="AD180" s="50">
        <v>1</v>
      </c>
      <c r="AE180" s="50">
        <v>1</v>
      </c>
      <c r="AF180" s="50">
        <v>1</v>
      </c>
      <c r="AG180" t="str">
        <f t="shared" si="2"/>
        <v xml:space="preserve">2001, 2002, 2003, 2004, 2005, 2006, 2007, 2008, 2009, 2010, 2011, 2012, 2013, 2014, 2015, 2016, 2017, 2018, 2019, 2020, 2021, 2022, 2023, 2024, </v>
      </c>
      <c r="AH180" s="32" t="s">
        <v>470</v>
      </c>
      <c r="AI180" s="32" t="s">
        <v>471</v>
      </c>
      <c r="AJ180" s="32" t="s">
        <v>472</v>
      </c>
      <c r="AK180" t="s">
        <v>473</v>
      </c>
      <c r="AM180" s="32" t="s">
        <v>474</v>
      </c>
    </row>
    <row r="181" spans="1:39" x14ac:dyDescent="0.35">
      <c r="A181" s="4">
        <v>178</v>
      </c>
      <c r="B181" s="42" t="s">
        <v>207</v>
      </c>
      <c r="C181" s="42" t="s">
        <v>475</v>
      </c>
      <c r="D181" s="29">
        <v>0</v>
      </c>
      <c r="E181" s="29">
        <v>0</v>
      </c>
      <c r="F181" s="29">
        <v>0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M181" s="20">
        <v>1</v>
      </c>
      <c r="N181" s="20">
        <v>1</v>
      </c>
      <c r="O181" s="20">
        <v>1</v>
      </c>
      <c r="P181" s="20">
        <v>1</v>
      </c>
      <c r="Q181" s="20">
        <v>1</v>
      </c>
      <c r="R181" s="20">
        <v>1</v>
      </c>
      <c r="S181" s="20">
        <v>1</v>
      </c>
      <c r="T181" s="20">
        <v>1</v>
      </c>
      <c r="U181" s="20">
        <v>1</v>
      </c>
      <c r="V181" s="20">
        <v>1</v>
      </c>
      <c r="W181" s="20">
        <v>1</v>
      </c>
      <c r="X181" s="20">
        <v>1</v>
      </c>
      <c r="Y181" s="20">
        <v>1</v>
      </c>
      <c r="Z181" s="20">
        <v>1</v>
      </c>
      <c r="AA181" s="29">
        <v>1</v>
      </c>
      <c r="AB181" s="18">
        <v>1</v>
      </c>
      <c r="AC181" s="18">
        <v>1</v>
      </c>
      <c r="AD181" s="50">
        <v>1</v>
      </c>
      <c r="AE181" s="50">
        <v>1</v>
      </c>
      <c r="AF181" s="50"/>
      <c r="AG181" t="str">
        <f t="shared" si="2"/>
        <v xml:space="preserve">2005, 2006, 2007, 2008, 2009, 2010, 2011, 2012, 2013, 2014, 2015, 2016, 2017, 2018, 2019, 2020, 2021, 2022, 2023, </v>
      </c>
      <c r="AH181" s="33" t="s">
        <v>476</v>
      </c>
      <c r="AI181" t="s">
        <v>477</v>
      </c>
      <c r="AJ181" t="s">
        <v>476</v>
      </c>
    </row>
    <row r="182" spans="1:39" x14ac:dyDescent="0.35">
      <c r="A182" s="4">
        <v>179</v>
      </c>
      <c r="B182" s="42" t="s">
        <v>208</v>
      </c>
      <c r="C182" s="42" t="s">
        <v>478</v>
      </c>
      <c r="D182" s="29">
        <v>0</v>
      </c>
      <c r="E182" s="29">
        <v>0</v>
      </c>
      <c r="F182" s="29">
        <v>0</v>
      </c>
      <c r="G182" s="29">
        <v>0</v>
      </c>
      <c r="H182" s="29">
        <v>0</v>
      </c>
      <c r="I182" s="20">
        <v>1</v>
      </c>
      <c r="J182" s="20">
        <v>1</v>
      </c>
      <c r="K182" s="20">
        <v>1</v>
      </c>
      <c r="L182" s="20">
        <v>1</v>
      </c>
      <c r="M182" s="20">
        <v>1</v>
      </c>
      <c r="N182" s="20">
        <v>1</v>
      </c>
      <c r="O182" s="20">
        <v>1</v>
      </c>
      <c r="P182" s="20">
        <v>1</v>
      </c>
      <c r="Q182" s="20">
        <v>1</v>
      </c>
      <c r="R182" s="20">
        <v>1</v>
      </c>
      <c r="S182" s="20">
        <v>1</v>
      </c>
      <c r="T182" s="20">
        <v>1</v>
      </c>
      <c r="U182" s="20">
        <v>1</v>
      </c>
      <c r="V182" s="20">
        <v>1</v>
      </c>
      <c r="W182" s="20">
        <v>1</v>
      </c>
      <c r="X182" s="20">
        <v>1</v>
      </c>
      <c r="Y182" s="20">
        <v>1</v>
      </c>
      <c r="Z182" s="20">
        <v>1</v>
      </c>
      <c r="AA182" s="29">
        <v>1</v>
      </c>
      <c r="AB182" s="18">
        <v>0</v>
      </c>
      <c r="AC182" s="18">
        <v>0</v>
      </c>
      <c r="AD182" s="50"/>
      <c r="AE182" s="50"/>
      <c r="AF182" s="50"/>
      <c r="AG182" t="str">
        <f t="shared" si="2"/>
        <v xml:space="preserve">2001, 2002, 2003, 2004, 2005, 2006, 2007, 2008, 2009, 2010, 2011, 2012, 2013, 2014, 2015, 2016, 2017, 2018, 2019, </v>
      </c>
      <c r="AH182" s="32" t="s">
        <v>479</v>
      </c>
    </row>
    <row r="183" spans="1:39" x14ac:dyDescent="0.35">
      <c r="A183" s="4">
        <v>180</v>
      </c>
      <c r="B183" s="42" t="s">
        <v>209</v>
      </c>
      <c r="C183" s="42" t="s">
        <v>480</v>
      </c>
      <c r="D183" s="20">
        <v>1</v>
      </c>
      <c r="E183" s="20">
        <v>1</v>
      </c>
      <c r="F183" s="20">
        <v>1</v>
      </c>
      <c r="G183" s="20">
        <v>1</v>
      </c>
      <c r="H183" s="20">
        <v>1</v>
      </c>
      <c r="I183" s="20">
        <v>1</v>
      </c>
      <c r="J183" s="20">
        <v>1</v>
      </c>
      <c r="K183" s="20">
        <v>1</v>
      </c>
      <c r="L183" s="20">
        <v>1</v>
      </c>
      <c r="M183" s="20">
        <v>1</v>
      </c>
      <c r="N183" s="20">
        <v>1</v>
      </c>
      <c r="O183" s="20">
        <v>1</v>
      </c>
      <c r="P183" s="20">
        <v>1</v>
      </c>
      <c r="Q183" s="20">
        <v>1</v>
      </c>
      <c r="R183" s="20">
        <v>1</v>
      </c>
      <c r="S183" s="20">
        <v>1</v>
      </c>
      <c r="T183" s="20">
        <v>1</v>
      </c>
      <c r="U183" s="20">
        <v>1</v>
      </c>
      <c r="V183" s="20">
        <v>1</v>
      </c>
      <c r="W183" s="20">
        <v>1</v>
      </c>
      <c r="X183" s="20">
        <v>1</v>
      </c>
      <c r="Y183" s="20">
        <v>1</v>
      </c>
      <c r="Z183" s="20">
        <v>1</v>
      </c>
      <c r="AA183" s="29">
        <v>1</v>
      </c>
      <c r="AB183" s="18">
        <v>1</v>
      </c>
      <c r="AC183" s="18">
        <v>1</v>
      </c>
      <c r="AD183" s="50"/>
      <c r="AE183" s="50"/>
      <c r="AF183" s="50">
        <v>1</v>
      </c>
      <c r="AG183" t="str">
        <f t="shared" si="2"/>
        <v xml:space="preserve">1996, 1997, 1998, 1999, 2000, 2001, 2002, 2003, 2004, 2005, 2006, 2007, 2008, 2009, 2010, 2011, 2012, 2013, 2014, 2015, 2016, 2017, 2018, 2019, 2020, 2021, 2024, </v>
      </c>
      <c r="AH183" s="32" t="s">
        <v>481</v>
      </c>
      <c r="AI183" s="32" t="s">
        <v>482</v>
      </c>
      <c r="AJ183" s="32" t="s">
        <v>481</v>
      </c>
    </row>
    <row r="184" spans="1:39" x14ac:dyDescent="0.35">
      <c r="A184" s="4">
        <v>181</v>
      </c>
      <c r="B184" s="42" t="s">
        <v>210</v>
      </c>
      <c r="C184" s="42" t="s">
        <v>483</v>
      </c>
      <c r="D184" s="29">
        <v>0</v>
      </c>
      <c r="E184" s="29">
        <v>0</v>
      </c>
      <c r="F184" s="29">
        <v>0</v>
      </c>
      <c r="G184" s="29">
        <v>0</v>
      </c>
      <c r="H184" s="20">
        <v>1</v>
      </c>
      <c r="I184" s="20">
        <v>1</v>
      </c>
      <c r="J184" s="20">
        <v>1</v>
      </c>
      <c r="K184" s="20">
        <v>1</v>
      </c>
      <c r="L184" s="20">
        <v>1</v>
      </c>
      <c r="M184" s="20">
        <v>1</v>
      </c>
      <c r="N184" s="20">
        <v>1</v>
      </c>
      <c r="O184" s="20">
        <v>1</v>
      </c>
      <c r="P184" s="20">
        <v>1</v>
      </c>
      <c r="Q184" s="20">
        <v>1</v>
      </c>
      <c r="R184" s="20">
        <v>1</v>
      </c>
      <c r="S184" s="20">
        <v>1</v>
      </c>
      <c r="T184" s="20">
        <v>1</v>
      </c>
      <c r="U184" s="20">
        <v>1</v>
      </c>
      <c r="V184" s="20">
        <v>1</v>
      </c>
      <c r="W184" s="20">
        <v>1</v>
      </c>
      <c r="X184" s="20">
        <v>1</v>
      </c>
      <c r="Y184" s="20">
        <v>1</v>
      </c>
      <c r="Z184" s="29">
        <v>1</v>
      </c>
      <c r="AA184" s="29">
        <v>1</v>
      </c>
      <c r="AB184" s="18">
        <v>1</v>
      </c>
      <c r="AC184" s="18">
        <v>1</v>
      </c>
      <c r="AD184" s="50"/>
      <c r="AE184" s="50"/>
      <c r="AF184" s="50"/>
      <c r="AG184" t="str">
        <f t="shared" si="2"/>
        <v xml:space="preserve">2000, 2001, 2002, 2003, 2004, 2005, 2006, 2007, 2008, 2009, 2010, 2011, 2012, 2013, 2014, 2015, 2016, 2017, 2018, 2019, 2020, 2021, </v>
      </c>
      <c r="AH184" s="33" t="s">
        <v>484</v>
      </c>
      <c r="AI184" s="32" t="s">
        <v>485</v>
      </c>
      <c r="AJ184" s="32" t="s">
        <v>486</v>
      </c>
      <c r="AK184" s="32" t="s">
        <v>487</v>
      </c>
      <c r="AL184" s="32" t="s">
        <v>488</v>
      </c>
    </row>
    <row r="185" spans="1:39" x14ac:dyDescent="0.35">
      <c r="A185" s="4">
        <v>182</v>
      </c>
      <c r="B185" s="42" t="s">
        <v>211</v>
      </c>
      <c r="C185" s="42" t="s">
        <v>489</v>
      </c>
      <c r="D185" s="20">
        <v>1</v>
      </c>
      <c r="E185" s="20">
        <v>1</v>
      </c>
      <c r="F185" s="20">
        <v>1</v>
      </c>
      <c r="G185" s="20">
        <v>1</v>
      </c>
      <c r="H185" s="20">
        <v>1</v>
      </c>
      <c r="I185" s="20">
        <v>1</v>
      </c>
      <c r="J185" s="20">
        <v>1</v>
      </c>
      <c r="K185" s="20">
        <v>1</v>
      </c>
      <c r="L185" s="20">
        <v>1</v>
      </c>
      <c r="M185" s="20">
        <v>1</v>
      </c>
      <c r="N185" s="20">
        <v>1</v>
      </c>
      <c r="O185" s="20">
        <v>1</v>
      </c>
      <c r="P185" s="20">
        <v>1</v>
      </c>
      <c r="Q185" s="20">
        <v>1</v>
      </c>
      <c r="R185" s="20">
        <v>1</v>
      </c>
      <c r="S185" s="20">
        <v>1</v>
      </c>
      <c r="T185" s="20">
        <v>1</v>
      </c>
      <c r="U185" s="20">
        <v>1</v>
      </c>
      <c r="V185" s="20">
        <v>1</v>
      </c>
      <c r="W185" s="20">
        <v>1</v>
      </c>
      <c r="X185" s="20">
        <v>1</v>
      </c>
      <c r="Y185" s="20">
        <v>1</v>
      </c>
      <c r="Z185" s="20">
        <v>1</v>
      </c>
      <c r="AA185" s="20">
        <v>1</v>
      </c>
      <c r="AB185" s="20">
        <v>1</v>
      </c>
      <c r="AC185" s="20">
        <v>1</v>
      </c>
      <c r="AD185" s="51"/>
      <c r="AE185" s="51"/>
      <c r="AF185" s="51">
        <v>1</v>
      </c>
      <c r="AG185" t="str">
        <f t="shared" si="2"/>
        <v xml:space="preserve">1996, 1997, 1998, 1999, 2000, 2001, 2002, 2003, 2004, 2005, 2006, 2007, 2008, 2009, 2010, 2011, 2012, 2013, 2014, 2015, 2016, 2017, 2018, 2019, 2020, 2021, 2024, </v>
      </c>
      <c r="AH185" s="33" t="s">
        <v>490</v>
      </c>
      <c r="AI185" s="33" t="s">
        <v>491</v>
      </c>
      <c r="AJ185" s="32" t="s">
        <v>492</v>
      </c>
      <c r="AK185" t="s">
        <v>493</v>
      </c>
    </row>
    <row r="186" spans="1:39" x14ac:dyDescent="0.35">
      <c r="A186" s="4">
        <v>183</v>
      </c>
      <c r="B186" s="42" t="s">
        <v>212</v>
      </c>
      <c r="C186" s="42" t="s">
        <v>494</v>
      </c>
      <c r="D186" s="29">
        <v>0</v>
      </c>
      <c r="E186" s="29">
        <v>0</v>
      </c>
      <c r="F186" s="29">
        <v>0</v>
      </c>
      <c r="G186" s="20">
        <v>1</v>
      </c>
      <c r="H186" s="20">
        <v>1</v>
      </c>
      <c r="I186" s="20">
        <v>1</v>
      </c>
      <c r="J186" s="20">
        <v>1</v>
      </c>
      <c r="K186" s="20">
        <v>1</v>
      </c>
      <c r="L186" s="20">
        <v>1</v>
      </c>
      <c r="M186" s="20">
        <v>1</v>
      </c>
      <c r="N186" s="20">
        <v>1</v>
      </c>
      <c r="O186" s="20">
        <v>1</v>
      </c>
      <c r="P186" s="20">
        <v>1</v>
      </c>
      <c r="Q186" s="20">
        <v>1</v>
      </c>
      <c r="R186" s="20">
        <v>1</v>
      </c>
      <c r="S186" s="20">
        <v>1</v>
      </c>
      <c r="T186" s="20">
        <v>1</v>
      </c>
      <c r="U186" s="20">
        <v>1</v>
      </c>
      <c r="V186" s="20">
        <v>1</v>
      </c>
      <c r="W186" s="20">
        <v>1</v>
      </c>
      <c r="X186" s="20">
        <v>1</v>
      </c>
      <c r="Y186" s="20">
        <v>1</v>
      </c>
      <c r="Z186" s="20">
        <v>1</v>
      </c>
      <c r="AA186" s="29">
        <v>1</v>
      </c>
      <c r="AB186" s="18">
        <v>1</v>
      </c>
      <c r="AC186" s="18">
        <v>1</v>
      </c>
      <c r="AD186" s="50"/>
      <c r="AE186" s="50"/>
      <c r="AF186" s="50">
        <v>1</v>
      </c>
      <c r="AG186" t="str">
        <f t="shared" si="2"/>
        <v xml:space="preserve">1999, 2000, 2001, 2002, 2003, 2004, 2005, 2006, 2007, 2008, 2009, 2010, 2011, 2012, 2013, 2014, 2015, 2016, 2017, 2018, 2019, 2020, 2021, 2024, </v>
      </c>
      <c r="AH186" s="33" t="s">
        <v>495</v>
      </c>
      <c r="AI186" s="33" t="s">
        <v>496</v>
      </c>
      <c r="AJ186" s="32" t="s">
        <v>497</v>
      </c>
    </row>
    <row r="187" spans="1:39" x14ac:dyDescent="0.35">
      <c r="A187" s="4">
        <v>184</v>
      </c>
      <c r="B187" s="42" t="s">
        <v>213</v>
      </c>
      <c r="C187" s="42" t="s">
        <v>498</v>
      </c>
      <c r="D187" s="29">
        <v>0</v>
      </c>
      <c r="E187" s="29">
        <v>0</v>
      </c>
      <c r="F187" s="29">
        <v>0</v>
      </c>
      <c r="G187" s="29">
        <v>0</v>
      </c>
      <c r="H187" s="29">
        <v>0</v>
      </c>
      <c r="I187" s="29">
        <v>0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0">
        <v>1</v>
      </c>
      <c r="P187" s="20">
        <v>1</v>
      </c>
      <c r="Q187" s="20">
        <v>1</v>
      </c>
      <c r="R187" s="20">
        <v>1</v>
      </c>
      <c r="S187" s="20">
        <v>1</v>
      </c>
      <c r="T187" s="20">
        <v>1</v>
      </c>
      <c r="U187" s="20">
        <v>1</v>
      </c>
      <c r="V187" s="20">
        <v>1</v>
      </c>
      <c r="W187" s="20">
        <v>1</v>
      </c>
      <c r="X187" s="20">
        <v>1</v>
      </c>
      <c r="Y187" s="20">
        <v>1</v>
      </c>
      <c r="Z187" s="20">
        <v>1</v>
      </c>
      <c r="AA187" s="20">
        <v>1</v>
      </c>
      <c r="AB187" s="18">
        <v>1</v>
      </c>
      <c r="AC187" s="18">
        <v>1</v>
      </c>
      <c r="AD187" s="50"/>
      <c r="AE187" s="50"/>
      <c r="AF187" s="50">
        <v>1</v>
      </c>
      <c r="AG187" t="str">
        <f t="shared" si="2"/>
        <v xml:space="preserve">2007, 2008, 2009, 2010, 2011, 2012, 2013, 2014, 2015, 2016, 2017, 2018, 2019, 2020, 2021, 2024, </v>
      </c>
      <c r="AH187" t="s">
        <v>499</v>
      </c>
      <c r="AI187" s="33" t="s">
        <v>500</v>
      </c>
      <c r="AJ187" t="s">
        <v>501</v>
      </c>
      <c r="AK187" t="s">
        <v>502</v>
      </c>
    </row>
    <row r="188" spans="1:39" x14ac:dyDescent="0.35">
      <c r="A188" s="4">
        <v>185</v>
      </c>
      <c r="B188" s="42" t="s">
        <v>214</v>
      </c>
      <c r="C188" s="42" t="s">
        <v>503</v>
      </c>
      <c r="D188" s="20">
        <v>1</v>
      </c>
      <c r="E188" s="20">
        <v>1</v>
      </c>
      <c r="F188" s="20">
        <v>1</v>
      </c>
      <c r="G188" s="20">
        <v>1</v>
      </c>
      <c r="H188" s="20">
        <v>1</v>
      </c>
      <c r="I188" s="20">
        <v>1</v>
      </c>
      <c r="J188" s="20">
        <v>1</v>
      </c>
      <c r="K188" s="20">
        <v>1</v>
      </c>
      <c r="L188" s="20">
        <v>1</v>
      </c>
      <c r="M188" s="20">
        <v>1</v>
      </c>
      <c r="N188" s="20">
        <v>1</v>
      </c>
      <c r="O188" s="20">
        <v>1</v>
      </c>
      <c r="P188" s="20">
        <v>1</v>
      </c>
      <c r="Q188" s="20">
        <v>1</v>
      </c>
      <c r="R188" s="20">
        <v>1</v>
      </c>
      <c r="S188" s="20">
        <v>1</v>
      </c>
      <c r="T188" s="20">
        <v>1</v>
      </c>
      <c r="U188" s="20">
        <v>1</v>
      </c>
      <c r="V188" s="20">
        <v>1</v>
      </c>
      <c r="W188" s="20">
        <v>1</v>
      </c>
      <c r="X188" s="20">
        <v>1</v>
      </c>
      <c r="Y188" s="20">
        <v>1</v>
      </c>
      <c r="Z188" s="20">
        <v>1</v>
      </c>
      <c r="AA188" s="20">
        <v>1</v>
      </c>
      <c r="AB188" s="18">
        <v>1</v>
      </c>
      <c r="AC188" s="18">
        <v>1</v>
      </c>
      <c r="AD188" s="50"/>
      <c r="AE188" s="50"/>
      <c r="AF188" s="50">
        <v>1</v>
      </c>
      <c r="AG188" t="str">
        <f t="shared" si="2"/>
        <v xml:space="preserve">1996, 1997, 1998, 1999, 2000, 2001, 2002, 2003, 2004, 2005, 2006, 2007, 2008, 2009, 2010, 2011, 2012, 2013, 2014, 2015, 2016, 2017, 2018, 2019, 2020, 2021, 2024, </v>
      </c>
      <c r="AH188" s="34" t="s">
        <v>504</v>
      </c>
      <c r="AI188" s="39" t="s">
        <v>505</v>
      </c>
      <c r="AJ188" t="s">
        <v>506</v>
      </c>
    </row>
    <row r="189" spans="1:39" x14ac:dyDescent="0.35">
      <c r="A189" s="4">
        <v>186</v>
      </c>
      <c r="B189" s="42" t="s">
        <v>215</v>
      </c>
      <c r="C189" s="42" t="s">
        <v>507</v>
      </c>
      <c r="D189" s="29">
        <v>0</v>
      </c>
      <c r="E189" s="29">
        <v>0</v>
      </c>
      <c r="F189" s="29">
        <v>0</v>
      </c>
      <c r="G189" s="29">
        <v>0</v>
      </c>
      <c r="H189" s="20">
        <v>1</v>
      </c>
      <c r="I189" s="20">
        <v>1</v>
      </c>
      <c r="J189" s="20">
        <v>1</v>
      </c>
      <c r="K189" s="20">
        <v>1</v>
      </c>
      <c r="L189" s="20">
        <v>1</v>
      </c>
      <c r="M189" s="20">
        <v>0</v>
      </c>
      <c r="N189" s="20">
        <v>1</v>
      </c>
      <c r="O189" s="20">
        <v>1</v>
      </c>
      <c r="P189" s="20">
        <v>1</v>
      </c>
      <c r="Q189" s="20">
        <v>1</v>
      </c>
      <c r="R189" s="20">
        <v>1</v>
      </c>
      <c r="S189" s="20">
        <v>1</v>
      </c>
      <c r="T189" s="20">
        <v>1</v>
      </c>
      <c r="U189" s="20">
        <v>1</v>
      </c>
      <c r="V189" s="20">
        <v>1</v>
      </c>
      <c r="W189" s="20">
        <v>1</v>
      </c>
      <c r="X189" s="20">
        <v>1</v>
      </c>
      <c r="Y189" s="20">
        <v>1</v>
      </c>
      <c r="Z189" s="20">
        <v>1</v>
      </c>
      <c r="AA189" s="29">
        <v>1</v>
      </c>
      <c r="AB189" s="18">
        <v>1</v>
      </c>
      <c r="AC189" s="18">
        <v>1</v>
      </c>
      <c r="AD189" s="50">
        <v>1</v>
      </c>
      <c r="AE189" s="50">
        <v>1</v>
      </c>
      <c r="AF189" s="50"/>
      <c r="AG189" t="str">
        <f t="shared" si="2"/>
        <v xml:space="preserve">2000, 2001, 2002, 2003, 2004, 2006, 2007, 2008, 2009, 2010, 2011, 2012, 2013, 2014, 2015, 2016, 2017, 2018, 2019, 2020, 2021, 2022, 2023, </v>
      </c>
      <c r="AH189" s="33" t="s">
        <v>508</v>
      </c>
      <c r="AI189" t="s">
        <v>509</v>
      </c>
    </row>
    <row r="190" spans="1:39" x14ac:dyDescent="0.35">
      <c r="A190" s="4">
        <v>187</v>
      </c>
      <c r="B190" s="42" t="s">
        <v>216</v>
      </c>
      <c r="C190" s="42" t="s">
        <v>510</v>
      </c>
      <c r="D190" s="29">
        <v>0</v>
      </c>
      <c r="E190" s="29">
        <v>0</v>
      </c>
      <c r="F190" s="29">
        <v>0</v>
      </c>
      <c r="G190" s="29">
        <v>0</v>
      </c>
      <c r="H190" s="20">
        <v>1</v>
      </c>
      <c r="I190" s="20">
        <v>1</v>
      </c>
      <c r="J190" s="20">
        <v>1</v>
      </c>
      <c r="K190" s="20">
        <v>1</v>
      </c>
      <c r="L190" s="20">
        <v>1</v>
      </c>
      <c r="M190" s="20">
        <v>1</v>
      </c>
      <c r="N190" s="20">
        <v>1</v>
      </c>
      <c r="O190" s="20">
        <v>1</v>
      </c>
      <c r="P190" s="20">
        <v>1</v>
      </c>
      <c r="Q190" s="20">
        <v>1</v>
      </c>
      <c r="R190" s="20">
        <v>1</v>
      </c>
      <c r="S190" s="20">
        <v>1</v>
      </c>
      <c r="T190" s="20">
        <v>1</v>
      </c>
      <c r="U190" s="20">
        <v>1</v>
      </c>
      <c r="V190" s="20">
        <v>1</v>
      </c>
      <c r="W190" s="20">
        <v>1</v>
      </c>
      <c r="X190" s="20">
        <v>1</v>
      </c>
      <c r="Y190" s="20">
        <v>1</v>
      </c>
      <c r="Z190" s="20">
        <v>1</v>
      </c>
      <c r="AA190" s="29">
        <v>1</v>
      </c>
      <c r="AB190" s="18">
        <v>1</v>
      </c>
      <c r="AC190" s="18">
        <v>1</v>
      </c>
      <c r="AD190" s="50">
        <v>1</v>
      </c>
      <c r="AE190" s="50">
        <v>1</v>
      </c>
      <c r="AF190" s="50"/>
      <c r="AG190" t="str">
        <f t="shared" si="2"/>
        <v xml:space="preserve">2000, 2001, 2002, 2003, 2004, 2005, 2006, 2007, 2008, 2009, 2010, 2011, 2012, 2013, 2014, 2015, 2016, 2017, 2018, 2019, 2020, 2021, 2022, 2023, </v>
      </c>
      <c r="AH190" s="32" t="s">
        <v>511</v>
      </c>
      <c r="AI190" s="33" t="s">
        <v>512</v>
      </c>
      <c r="AJ190" s="33" t="s">
        <v>513</v>
      </c>
      <c r="AK190" s="33" t="s">
        <v>514</v>
      </c>
      <c r="AL190" s="33" t="s">
        <v>515</v>
      </c>
    </row>
    <row r="191" spans="1:39" x14ac:dyDescent="0.35">
      <c r="A191" s="4">
        <v>188</v>
      </c>
      <c r="B191" s="42" t="s">
        <v>217</v>
      </c>
      <c r="C191" s="42" t="s">
        <v>516</v>
      </c>
      <c r="D191" s="20">
        <v>1</v>
      </c>
      <c r="E191" s="20">
        <v>1</v>
      </c>
      <c r="F191" s="20">
        <v>1</v>
      </c>
      <c r="G191" s="20">
        <v>1</v>
      </c>
      <c r="H191" s="20">
        <v>1</v>
      </c>
      <c r="I191" s="20">
        <v>1</v>
      </c>
      <c r="J191" s="20">
        <v>1</v>
      </c>
      <c r="K191" s="20">
        <v>1</v>
      </c>
      <c r="L191" s="20">
        <v>1</v>
      </c>
      <c r="M191" s="20">
        <v>1</v>
      </c>
      <c r="N191" s="20">
        <v>1</v>
      </c>
      <c r="O191" s="20">
        <v>1</v>
      </c>
      <c r="P191" s="20">
        <v>1</v>
      </c>
      <c r="Q191" s="20">
        <v>1</v>
      </c>
      <c r="R191" s="20">
        <v>1</v>
      </c>
      <c r="S191" s="20">
        <v>1</v>
      </c>
      <c r="T191" s="20">
        <v>1</v>
      </c>
      <c r="U191" s="20">
        <v>1</v>
      </c>
      <c r="V191" s="20">
        <v>1</v>
      </c>
      <c r="W191" s="20">
        <v>1</v>
      </c>
      <c r="X191" s="20">
        <v>1</v>
      </c>
      <c r="Y191" s="20">
        <v>1</v>
      </c>
      <c r="Z191" s="20">
        <v>1</v>
      </c>
      <c r="AA191" s="29">
        <v>1</v>
      </c>
      <c r="AB191" s="18">
        <v>1</v>
      </c>
      <c r="AC191" s="18">
        <v>1</v>
      </c>
      <c r="AD191" s="50"/>
      <c r="AE191" s="50"/>
      <c r="AF191" s="50">
        <v>1</v>
      </c>
      <c r="AG191" t="str">
        <f t="shared" si="2"/>
        <v xml:space="preserve">1996, 1997, 1998, 1999, 2000, 2001, 2002, 2003, 2004, 2005, 2006, 2007, 2008, 2009, 2010, 2011, 2012, 2013, 2014, 2015, 2016, 2017, 2018, 2019, 2020, 2021, 2024, </v>
      </c>
      <c r="AH191" s="33" t="s">
        <v>517</v>
      </c>
      <c r="AI191" s="33" t="s">
        <v>518</v>
      </c>
      <c r="AJ191" s="33" t="s">
        <v>519</v>
      </c>
      <c r="AK191" s="33" t="s">
        <v>520</v>
      </c>
      <c r="AL191" t="s">
        <v>521</v>
      </c>
      <c r="AM191" t="s">
        <v>522</v>
      </c>
    </row>
    <row r="192" spans="1:39" x14ac:dyDescent="0.35">
      <c r="A192" s="4">
        <v>189</v>
      </c>
      <c r="B192" s="42" t="s">
        <v>218</v>
      </c>
      <c r="C192" s="42" t="s">
        <v>523</v>
      </c>
      <c r="D192" s="20">
        <v>1</v>
      </c>
      <c r="E192" s="20">
        <v>1</v>
      </c>
      <c r="F192" s="20">
        <v>1</v>
      </c>
      <c r="G192" s="20">
        <v>1</v>
      </c>
      <c r="H192" s="20">
        <v>1</v>
      </c>
      <c r="I192" s="20">
        <v>1</v>
      </c>
      <c r="J192" s="20">
        <v>1</v>
      </c>
      <c r="K192" s="20">
        <v>1</v>
      </c>
      <c r="L192" s="20">
        <v>1</v>
      </c>
      <c r="M192" s="20">
        <v>1</v>
      </c>
      <c r="N192" s="20">
        <v>1</v>
      </c>
      <c r="O192" s="20">
        <v>1</v>
      </c>
      <c r="P192" s="20">
        <v>1</v>
      </c>
      <c r="Q192" s="20">
        <v>1</v>
      </c>
      <c r="R192" s="20">
        <v>1</v>
      </c>
      <c r="S192" s="20">
        <v>1</v>
      </c>
      <c r="T192" s="20">
        <v>1</v>
      </c>
      <c r="U192" s="20">
        <v>1</v>
      </c>
      <c r="V192" s="20">
        <v>1</v>
      </c>
      <c r="W192" s="20">
        <v>1</v>
      </c>
      <c r="X192" s="20">
        <v>1</v>
      </c>
      <c r="Y192" s="20">
        <v>1</v>
      </c>
      <c r="Z192" s="20">
        <v>1</v>
      </c>
      <c r="AA192" s="20">
        <v>1</v>
      </c>
      <c r="AB192" s="18">
        <v>1</v>
      </c>
      <c r="AC192" s="18">
        <v>1</v>
      </c>
      <c r="AD192" s="50"/>
      <c r="AE192" s="50"/>
      <c r="AF192" s="50">
        <v>1</v>
      </c>
      <c r="AG192" t="str">
        <f t="shared" si="2"/>
        <v xml:space="preserve">1996, 1997, 1998, 1999, 2000, 2001, 2002, 2003, 2004, 2005, 2006, 2007, 2008, 2009, 2010, 2011, 2012, 2013, 2014, 2015, 2016, 2017, 2018, 2019, 2020, 2021, 2024, </v>
      </c>
      <c r="AH192" s="32" t="s">
        <v>524</v>
      </c>
      <c r="AI192" s="32" t="s">
        <v>525</v>
      </c>
      <c r="AJ192" s="32" t="s">
        <v>526</v>
      </c>
      <c r="AK192" s="32" t="s">
        <v>527</v>
      </c>
      <c r="AL192" s="32" t="s">
        <v>528</v>
      </c>
    </row>
    <row r="193" spans="1:37" x14ac:dyDescent="0.35">
      <c r="A193" s="4">
        <v>190</v>
      </c>
      <c r="B193" s="42" t="s">
        <v>219</v>
      </c>
      <c r="C193" s="42" t="s">
        <v>529</v>
      </c>
      <c r="D193" s="20">
        <v>1</v>
      </c>
      <c r="E193" s="20">
        <v>1</v>
      </c>
      <c r="F193" s="20">
        <v>1</v>
      </c>
      <c r="G193" s="20">
        <v>1</v>
      </c>
      <c r="H193" s="20">
        <v>1</v>
      </c>
      <c r="I193" s="20">
        <v>1</v>
      </c>
      <c r="J193" s="20">
        <v>1</v>
      </c>
      <c r="K193" s="20">
        <v>1</v>
      </c>
      <c r="L193" s="20">
        <v>1</v>
      </c>
      <c r="M193" s="20">
        <v>1</v>
      </c>
      <c r="N193" s="20">
        <v>1</v>
      </c>
      <c r="O193" s="20">
        <v>1</v>
      </c>
      <c r="P193" s="20">
        <v>1</v>
      </c>
      <c r="Q193" s="20">
        <v>1</v>
      </c>
      <c r="R193" s="20">
        <v>1</v>
      </c>
      <c r="S193" s="20">
        <v>1</v>
      </c>
      <c r="T193" s="20">
        <v>1</v>
      </c>
      <c r="U193" s="20">
        <v>1</v>
      </c>
      <c r="V193" s="20">
        <v>1</v>
      </c>
      <c r="W193" s="20">
        <v>1</v>
      </c>
      <c r="X193" s="20">
        <v>1</v>
      </c>
      <c r="Y193" s="20">
        <v>1</v>
      </c>
      <c r="Z193" s="20">
        <v>1</v>
      </c>
      <c r="AA193" s="20">
        <v>1</v>
      </c>
      <c r="AB193" s="18">
        <v>1</v>
      </c>
      <c r="AC193" s="18">
        <v>1</v>
      </c>
      <c r="AD193" s="50">
        <v>1</v>
      </c>
      <c r="AE193" s="50">
        <v>1</v>
      </c>
      <c r="AF193" s="50">
        <v>1</v>
      </c>
      <c r="AG193" t="str">
        <f t="shared" si="2"/>
        <v xml:space="preserve">1996, 1997, 1998, 1999, 2000, 2001, 2002, 2003, 2004, 2005, 2006, 2007, 2008, 2009, 2010, 2011, 2012, 2013, 2014, 2015, 2016, 2017, 2018, 2019, 2020, 2021, 2022, 2023, 2024, </v>
      </c>
      <c r="AH193" s="32" t="s">
        <v>530</v>
      </c>
      <c r="AI193" s="32" t="s">
        <v>531</v>
      </c>
      <c r="AJ193" s="32" t="s">
        <v>532</v>
      </c>
      <c r="AK193" t="s">
        <v>533</v>
      </c>
    </row>
  </sheetData>
  <hyperlinks>
    <hyperlink ref="AH149" r:id="rId1" xr:uid="{52AC0ED7-7648-40F7-B571-616312535AAA}"/>
    <hyperlink ref="AH157" r:id="rId2" xr:uid="{45571AB8-A194-4CB5-B86F-42770FE8F0EC}"/>
    <hyperlink ref="AL190" r:id="rId3" xr:uid="{E1B26233-1D7F-4B6E-A7B3-316AF4DFD64D}"/>
    <hyperlink ref="AI185" r:id="rId4" xr:uid="{865742E7-BC6D-48C2-8AD9-20E9F8A9CB8D}"/>
    <hyperlink ref="AI187" r:id="rId5" xr:uid="{87635245-1906-4D40-9B72-2665339404C6}"/>
    <hyperlink ref="AH161" r:id="rId6" xr:uid="{2BBA1E7B-3597-451D-BB1B-DA7942019B4E}"/>
    <hyperlink ref="AH189" r:id="rId7" xr:uid="{5F662825-2BB5-45A8-B790-BE007838E78C}"/>
    <hyperlink ref="AH177" r:id="rId8" xr:uid="{D5E1BC65-C3C1-4385-AF10-90A6F6274C3D}"/>
    <hyperlink ref="AH163" r:id="rId9" location="documents" xr:uid="{56A02F04-D2F7-469A-87C0-53B8348EFE61}"/>
    <hyperlink ref="AJ170" r:id="rId10" xr:uid="{EB7D60BA-0955-4550-B994-AEEAFCFB73F9}"/>
    <hyperlink ref="AK170" r:id="rId11" xr:uid="{604FAE38-7BDC-4FFF-A70B-FB5BF5B2A8B1}"/>
    <hyperlink ref="AH170" r:id="rId12" xr:uid="{0D14BE12-3694-46AE-A081-C4913693A642}"/>
    <hyperlink ref="AI170" r:id="rId13" xr:uid="{CB3366BE-F0C6-42E0-9345-F520CF905A7B}"/>
    <hyperlink ref="AH173" r:id="rId14" xr:uid="{6C8099A4-A7A1-4497-A789-6AF9D0BA5BDB}"/>
    <hyperlink ref="AH174" r:id="rId15" xr:uid="{09505B9B-F457-4DB0-A57A-3B6C17F65BAE}"/>
    <hyperlink ref="AI190" r:id="rId16" xr:uid="{B9710AAF-9B37-404F-A976-903D18F8F57B}"/>
    <hyperlink ref="AJ190" r:id="rId17" xr:uid="{4E731BCE-C3F7-484A-9B2A-46B11C1AAAB0}"/>
    <hyperlink ref="AH166" r:id="rId18" xr:uid="{CA8BBEE4-F576-4ABA-9568-AC20CB59BF35}"/>
    <hyperlink ref="AH179" r:id="rId19" xr:uid="{BEC06E08-495B-478D-8834-CAF224F05E75}"/>
    <hyperlink ref="AH185" r:id="rId20" xr:uid="{B1E3DA1E-2865-4610-AE45-EE473804C289}"/>
    <hyperlink ref="AH181" r:id="rId21" xr:uid="{51DDC235-0C4B-44EE-801E-498C749B6D15}"/>
    <hyperlink ref="AI188" r:id="rId22" xr:uid="{5BDA0124-CD93-42F6-86D0-392B7ABD35C5}"/>
    <hyperlink ref="AH192" r:id="rId23" xr:uid="{3BA9C1B9-A93C-404A-8B08-C69E4387DC6D}"/>
    <hyperlink ref="AI192" r:id="rId24" xr:uid="{020E40C3-252D-4E60-B993-F7CF4432D5AE}"/>
    <hyperlink ref="AJ192" r:id="rId25" xr:uid="{73712456-839E-45A8-AE9E-44D79C0F39BF}"/>
    <hyperlink ref="AH186" r:id="rId26" xr:uid="{0747EB5C-708B-48EB-AB2A-959A09A608B1}"/>
    <hyperlink ref="AI186" r:id="rId27" xr:uid="{22F267F2-41BE-4BF3-BD3C-29EED9B76EA0}"/>
    <hyperlink ref="AH176" r:id="rId28" xr:uid="{D9235B68-7816-4CC3-9093-B978BB854F23}"/>
    <hyperlink ref="AI176" r:id="rId29" xr:uid="{EDD9DD06-6D5A-4AB8-AFBF-27D554CA729E}"/>
    <hyperlink ref="AH172" r:id="rId30" xr:uid="{702DEA58-5D24-444C-9F18-C00C014762B5}"/>
    <hyperlink ref="AI172" r:id="rId31" location="18-Statistical-processing-17" xr:uid="{2CC7A350-C221-40C2-BF31-D7B042D41B0B}"/>
    <hyperlink ref="AK172" r:id="rId32" location="18-Statistical-processing-17" xr:uid="{93F1DBFF-7A3B-4B29-A088-1E0EC20C782D}"/>
    <hyperlink ref="AH191" r:id="rId33" xr:uid="{747BB282-14A2-49AF-B67A-7B969618FE26}"/>
    <hyperlink ref="AI191" r:id="rId34" xr:uid="{55FF2876-E8C0-4240-AAF0-F61CDA092B5C}"/>
    <hyperlink ref="AJ191" r:id="rId35" xr:uid="{A78350D1-9D80-4966-9381-406E1F15388A}"/>
    <hyperlink ref="AK191" r:id="rId36" xr:uid="{E19C6183-3E90-4595-8893-AD5693A99291}"/>
    <hyperlink ref="AI168" r:id="rId37" xr:uid="{DB070CA9-97C5-426A-BE11-CEF9FC65BFED}"/>
    <hyperlink ref="AJ168" r:id="rId38" xr:uid="{F82B79FE-5FE3-43AA-AB23-E8B0ED23A725}"/>
    <hyperlink ref="AH168" r:id="rId39" xr:uid="{04D7458B-63DE-4999-9D63-FF44159961BC}"/>
    <hyperlink ref="AH184" r:id="rId40" xr:uid="{635C077B-7FEA-44CA-8F20-11901AD73AA2}"/>
    <hyperlink ref="AH175" r:id="rId41" xr:uid="{2419542F-8E77-4711-938A-3073FAB164D3}"/>
    <hyperlink ref="AI175" r:id="rId42" xr:uid="{AF98DF13-1FC2-40B4-BCCE-36F73FBD48D0}"/>
    <hyperlink ref="AJ175" r:id="rId43" xr:uid="{1075B4F9-1706-46B1-9C2C-4B791300B8A3}"/>
    <hyperlink ref="AK175" r:id="rId44" xr:uid="{AF58B4B9-B6E6-47EC-841B-79501F4F10D6}"/>
    <hyperlink ref="AL175" r:id="rId45" xr:uid="{6D98C45A-F7C8-457F-BFAA-40BF8721237F}"/>
    <hyperlink ref="AI193" r:id="rId46" xr:uid="{92015F75-FEA9-43AE-89D4-87CB709894B9}"/>
    <hyperlink ref="AJ193" r:id="rId47" xr:uid="{DC1B17C4-0CF6-46C3-8C96-E4E76EA868CA}"/>
    <hyperlink ref="AH193" r:id="rId48" xr:uid="{05CB0796-E149-4477-8C35-ECCA3A9D48D7}"/>
    <hyperlink ref="AH151" r:id="rId49" xr:uid="{5038DB18-E423-483B-8A62-45D0831DE591}"/>
    <hyperlink ref="AI151" r:id="rId50" xr:uid="{0838832B-FEFA-4FCC-AEA6-B63606D85C70}"/>
    <hyperlink ref="AH152" r:id="rId51" xr:uid="{0C573C17-792C-4968-A63C-0D9A3CC360B6}"/>
    <hyperlink ref="AI152" r:id="rId52" xr:uid="{5538D8B7-FEB3-4EC0-8CE9-D0ACC4E8BEFF}"/>
    <hyperlink ref="AH153" r:id="rId53" xr:uid="{90645A26-814E-4795-AEDF-74557CDDE938}"/>
    <hyperlink ref="AH154" r:id="rId54" xr:uid="{B5FAB193-4C6D-441B-8A53-39F37A0D88E7}"/>
    <hyperlink ref="AH155" r:id="rId55" xr:uid="{F84F20BC-3F7F-46B2-8AD9-1968E85959AD}"/>
    <hyperlink ref="AI155" r:id="rId56" xr:uid="{A1330DEF-8B68-47ED-825F-AE56F0D0808F}"/>
    <hyperlink ref="AH156" r:id="rId57" xr:uid="{735C2864-C62E-4EB1-9B3F-EA575925D11D}"/>
    <hyperlink ref="AH158" r:id="rId58" xr:uid="{CDC62339-8A0E-4036-99F6-9F1450E22F12}"/>
    <hyperlink ref="AI158" r:id="rId59" location="!/view/en/VBD_SLOVSTAT/nu2056rs/v_nu2056rs_00_00_00_en" xr:uid="{320901C4-220A-43A4-BEE2-DE41D15FB36C}"/>
    <hyperlink ref="AH162" r:id="rId60" xr:uid="{AE2A46E1-3B3B-4BD3-B4B3-6A636E3B061C}"/>
    <hyperlink ref="AI163" r:id="rId61" xr:uid="{23B60EA1-B711-4C60-B065-F9FA7E87E70E}"/>
    <hyperlink ref="AH167" r:id="rId62" location="microdonn_es__content_bfs_fr_home_statistiken_industrie-dienstleistungen_erhebungen_statent_jcr_content_par_tabs" xr:uid="{D8DB0FD3-F2D7-4EE9-803F-7FDB9E9A6D6A}"/>
    <hyperlink ref="AI167" r:id="rId63" xr:uid="{9B1B52B6-52C7-4C6B-940F-A16A7852B10D}"/>
    <hyperlink ref="AJ172" r:id="rId64" xr:uid="{AC3443B3-72F2-4579-AC41-B405F0AC6A8C}"/>
    <hyperlink ref="AI173" r:id="rId65" xr:uid="{4AF94ECA-DB73-459D-9D19-6A4C5BC6C230}"/>
    <hyperlink ref="AJ176" r:id="rId66" xr:uid="{532D06F3-FEB2-431D-938E-0809C9FA04A6}"/>
    <hyperlink ref="AI177" r:id="rId67" xr:uid="{5D024205-C977-4E77-B461-CA169F90C4EE}"/>
    <hyperlink ref="AH180" r:id="rId68" xr:uid="{53D7F884-561D-4927-B488-3D0EB87F7174}"/>
    <hyperlink ref="AI180" r:id="rId69" xr:uid="{8B8B3ECC-F894-4273-B242-71EF5CD12A5A}"/>
    <hyperlink ref="AJ180" r:id="rId70" xr:uid="{70D764AB-0E37-4EA9-B463-6AF1AF36D941}"/>
    <hyperlink ref="AH182" r:id="rId71" xr:uid="{8B9D5A42-E314-4449-A708-F86B8C639BBA}"/>
    <hyperlink ref="AH183" r:id="rId72" xr:uid="{C54C6A2B-1B64-47A1-9AF5-4DA2C74A62FB}"/>
    <hyperlink ref="AI184" r:id="rId73" xr:uid="{048C8F4A-3ED3-4BB0-BA5E-C9A8DB19BA08}"/>
    <hyperlink ref="AJ184" r:id="rId74" xr:uid="{2BD3B022-1099-4E72-9E68-6AC0299867FB}"/>
    <hyperlink ref="AK184" r:id="rId75" xr:uid="{737B47E6-EB48-4460-BA3E-1C80785081DB}"/>
    <hyperlink ref="AL184" r:id="rId76" xr:uid="{D57CED31-746C-45D7-AAAB-F188F0C04A22}"/>
    <hyperlink ref="AJ185" r:id="rId77" location="/CBS/nl/dataset/81238ned/table?ts=1600888891095" xr:uid="{9F548DAF-DA1D-4450-99A1-1EB091F67507}"/>
    <hyperlink ref="AJ186" r:id="rId78" xr:uid="{8790F5D1-5DA7-4B3C-8510-3C55238421B2}"/>
    <hyperlink ref="AH188" r:id="rId79" display="https://ec.europa.eu/eurostat/cache/metadata/EN/sbs_esms_pt.htm" xr:uid="{81994A69-4462-42C8-8451-DC4CAC1F3750}"/>
    <hyperlink ref="AH190" r:id="rId80" xr:uid="{075F987E-A35C-4182-9947-67D4EE48AD1D}"/>
    <hyperlink ref="AK190" r:id="rId81" xr:uid="{0A1F68C7-DCF0-4B70-84F7-258E12132163}"/>
    <hyperlink ref="AK192" r:id="rId82" xr:uid="{A5F73C74-051A-431A-A3DB-E28F207A95D2}"/>
    <hyperlink ref="AH165" r:id="rId83" xr:uid="{339CBE1F-A0E3-4640-9F2F-47C5DB49A10E}"/>
    <hyperlink ref="AH178" r:id="rId84" xr:uid="{556D98EF-43F0-48AC-9365-109DCBB04810}"/>
    <hyperlink ref="AI178" r:id="rId85" xr:uid="{F2D810C3-3682-4582-AD33-75A27B96B0D6}"/>
    <hyperlink ref="AR162" r:id="rId86" xr:uid="{569D496B-D043-4D18-9C14-EFEE80C30B7E}"/>
    <hyperlink ref="AI166" r:id="rId87" xr:uid="{26F5B7EB-A24D-4FF2-A158-0EC97C5E99F2}"/>
    <hyperlink ref="AJ166" r:id="rId88" xr:uid="{9FD1B3DA-2448-4BDA-A12D-3BE998D3134A}"/>
    <hyperlink ref="AH169" r:id="rId89" xr:uid="{D7A7DA82-4682-44B1-859A-568315A68AAE}"/>
    <hyperlink ref="AM180" r:id="rId90" xr:uid="{7325765A-B0C5-4A8E-BE05-678B8360AB5C}"/>
    <hyperlink ref="AJ183" r:id="rId91" xr:uid="{A5642F57-7B99-45FE-BF20-E49566815799}"/>
    <hyperlink ref="AI183" r:id="rId92" xr:uid="{4808868F-986C-41D8-88CE-5E8207ACB7CF}"/>
    <hyperlink ref="AL192" r:id="rId93" xr:uid="{AB002466-274D-4A60-A7FE-1C1CD2D9FB03}"/>
  </hyperlinks>
  <pageMargins left="0.7" right="0.7" top="0.75" bottom="0.75" header="0.3" footer="0.3"/>
  <pageSetup orientation="portrait" r:id="rId94"/>
  <headerFooter>
    <oddFooter>&amp;R_x000D_&amp;1#&amp;"Calibri"&amp;10&amp;K000000 Official Use Only</oddFooter>
  </headerFooter>
  <legacyDrawing r:id="rId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01F0D6-2591-4A68-815D-C98503A36C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F7F7F6-A9CF-4163-97CB-3D814FACF0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d29f-88fa-4d62-ac16-34b992563bf9"/>
    <ds:schemaRef ds:uri="e781ea9d-1795-4792-8d8d-c86ae526af93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EEE91F-8CDF-4F2C-85D3-58EC881B6941}">
  <ds:schemaRefs>
    <ds:schemaRef ds:uri="http://schemas.microsoft.com/office/2006/metadata/properties"/>
    <ds:schemaRef ds:uri="http://schemas.microsoft.com/office/infopath/2007/PartnerControls"/>
    <ds:schemaRef ds:uri="3e02667f-0271-471b-bd6e-11a2e16def1d"/>
    <ds:schemaRef ds:uri="b19ad29f-88fa-4d62-ac16-34b992563b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 DCS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Nathalie Barboza</dc:creator>
  <cp:keywords/>
  <dc:description/>
  <cp:lastModifiedBy>Zander Prinsloo</cp:lastModifiedBy>
  <cp:revision/>
  <dcterms:created xsi:type="dcterms:W3CDTF">2019-06-14T15:02:34Z</dcterms:created>
  <dcterms:modified xsi:type="dcterms:W3CDTF">2025-10-18T23:46:29Z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MSIP_Label_f1bf45b6-5649-4236-82a3-f45024cd282e_Enabled">
    <vt:lpwstr>true</vt:lpwstr>
  </property>
  <property fmtid="{D5CDD505-2E9C-101B-9397-08002B2CF9AE}" pid="7" name="MSIP_Label_f1bf45b6-5649-4236-82a3-f45024cd282e_SetDate">
    <vt:lpwstr>2025-10-18T23:11:18Z</vt:lpwstr>
  </property>
  <property fmtid="{D5CDD505-2E9C-101B-9397-08002B2CF9AE}" pid="8" name="MSIP_Label_f1bf45b6-5649-4236-82a3-f45024cd282e_Method">
    <vt:lpwstr>Standard</vt:lpwstr>
  </property>
  <property fmtid="{D5CDD505-2E9C-101B-9397-08002B2CF9AE}" pid="9" name="MSIP_Label_f1bf45b6-5649-4236-82a3-f45024cd282e_Name">
    <vt:lpwstr>Official Use Only</vt:lpwstr>
  </property>
  <property fmtid="{D5CDD505-2E9C-101B-9397-08002B2CF9AE}" pid="10" name="MSIP_Label_f1bf45b6-5649-4236-82a3-f45024cd282e_SiteId">
    <vt:lpwstr>31a2fec0-266b-4c67-b56e-2796d8f59c36</vt:lpwstr>
  </property>
  <property fmtid="{D5CDD505-2E9C-101B-9397-08002B2CF9AE}" pid="11" name="MSIP_Label_f1bf45b6-5649-4236-82a3-f45024cd282e_ActionId">
    <vt:lpwstr>ad636991-bfd1-4e77-8c32-cab432347a9b</vt:lpwstr>
  </property>
  <property fmtid="{D5CDD505-2E9C-101B-9397-08002B2CF9AE}" pid="12" name="MSIP_Label_f1bf45b6-5649-4236-82a3-f45024cd282e_ContentBits">
    <vt:lpwstr>2</vt:lpwstr>
  </property>
  <property fmtid="{D5CDD505-2E9C-101B-9397-08002B2CF9AE}" pid="13" name="MSIP_Label_f1bf45b6-5649-4236-82a3-f45024cd282e_Tag">
    <vt:lpwstr>10, 3, 0, 1</vt:lpwstr>
  </property>
</Properties>
</file>