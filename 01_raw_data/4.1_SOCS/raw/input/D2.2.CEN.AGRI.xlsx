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bstacy_worldbank_org/Documents/DECIS/SPI/Data/SPI 2023/01_raw_data/"/>
    </mc:Choice>
  </mc:AlternateContent>
  <xr:revisionPtr revIDLastSave="440" documentId="13_ncr:1_{3829F77E-C2E9-446E-AAA7-D7F1F56291B1}" xr6:coauthVersionLast="47" xr6:coauthVersionMax="47" xr10:uidLastSave="{2AACA7F1-1E0C-44EB-B0DB-FB9657B6BE54}"/>
  <bookViews>
    <workbookView xWindow="-120" yWindow="-120" windowWidth="29040" windowHeight="15840" firstSheet="1" activeTab="1" xr2:uid="{88A39811-3C9E-4C6A-A624-06A0224B6123}"/>
  </bookViews>
  <sheets>
    <sheet name="2020 DCS" sheetId="13" r:id="rId1"/>
    <sheet name="Data" sheetId="12" r:id="rId2"/>
  </sheets>
  <definedNames>
    <definedName name="_xlnm._FilterDatabase" localSheetId="1" hidden="1">Data!$A$3:$AH$193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92" i="12" l="1"/>
  <c r="AG6" i="12"/>
  <c r="AG7" i="12"/>
  <c r="AG8" i="12"/>
  <c r="AG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28" i="12"/>
  <c r="AG29" i="12"/>
  <c r="AG30" i="12"/>
  <c r="AG31" i="12"/>
  <c r="AG32" i="12"/>
  <c r="AG33" i="12"/>
  <c r="AG34" i="12"/>
  <c r="AG35" i="12"/>
  <c r="AG36" i="12"/>
  <c r="AG37" i="12"/>
  <c r="AG38" i="12"/>
  <c r="AG39" i="12"/>
  <c r="AG40" i="12"/>
  <c r="AG41" i="12"/>
  <c r="AG42" i="12"/>
  <c r="AG43" i="12"/>
  <c r="AG44" i="12"/>
  <c r="AG45" i="12"/>
  <c r="AG46" i="12"/>
  <c r="AG47" i="12"/>
  <c r="AG48" i="12"/>
  <c r="AG49" i="12"/>
  <c r="AG50" i="12"/>
  <c r="AG51" i="12"/>
  <c r="AG52" i="12"/>
  <c r="AG53" i="12"/>
  <c r="AG54" i="12"/>
  <c r="AG55" i="12"/>
  <c r="AG56" i="12"/>
  <c r="AG57" i="12"/>
  <c r="AG58" i="12"/>
  <c r="AG59" i="12"/>
  <c r="AG60" i="12"/>
  <c r="AG61" i="12"/>
  <c r="AG62" i="12"/>
  <c r="AG63" i="12"/>
  <c r="AG64" i="12"/>
  <c r="AG65" i="12"/>
  <c r="AG66" i="12"/>
  <c r="AG67" i="12"/>
  <c r="AG68" i="12"/>
  <c r="AG69" i="12"/>
  <c r="AG70" i="12"/>
  <c r="AG71" i="12"/>
  <c r="AG72" i="12"/>
  <c r="AG73" i="12"/>
  <c r="AG74" i="12"/>
  <c r="AG75" i="12"/>
  <c r="AG76" i="12"/>
  <c r="AG77" i="12"/>
  <c r="AG78" i="12"/>
  <c r="AG79" i="12"/>
  <c r="AG80" i="12"/>
  <c r="AG81" i="12"/>
  <c r="AG82" i="12"/>
  <c r="AG83" i="12"/>
  <c r="AG84" i="12"/>
  <c r="AG85" i="12"/>
  <c r="AG86" i="12"/>
  <c r="AG87" i="12"/>
  <c r="AG88" i="12"/>
  <c r="AG89" i="12"/>
  <c r="AG90" i="12"/>
  <c r="AG91" i="12"/>
  <c r="AG92" i="12"/>
  <c r="AG93" i="12"/>
  <c r="AG94" i="12"/>
  <c r="AG95" i="12"/>
  <c r="AG96" i="12"/>
  <c r="AG97" i="12"/>
  <c r="AG98" i="12"/>
  <c r="AG99" i="12"/>
  <c r="AG100" i="12"/>
  <c r="AG101" i="12"/>
  <c r="AG102" i="12"/>
  <c r="AG103" i="12"/>
  <c r="AG104" i="12"/>
  <c r="AG105" i="12"/>
  <c r="AG106" i="12"/>
  <c r="AG107" i="12"/>
  <c r="AG108" i="12"/>
  <c r="AG109" i="12"/>
  <c r="AG110" i="12"/>
  <c r="AG111" i="12"/>
  <c r="AG112" i="12"/>
  <c r="AG113" i="12"/>
  <c r="AG114" i="12"/>
  <c r="AG115" i="12"/>
  <c r="AG116" i="12"/>
  <c r="AG117" i="12"/>
  <c r="AG118" i="12"/>
  <c r="AG119" i="12"/>
  <c r="AG120" i="12"/>
  <c r="AG121" i="12"/>
  <c r="AG122" i="12"/>
  <c r="AG123" i="12"/>
  <c r="AG124" i="12"/>
  <c r="AG125" i="12"/>
  <c r="AG126" i="12"/>
  <c r="AG127" i="12"/>
  <c r="AG128" i="12"/>
  <c r="AG129" i="12"/>
  <c r="AG130" i="12"/>
  <c r="AG131" i="12"/>
  <c r="AG132" i="12"/>
  <c r="AG133" i="12"/>
  <c r="AG134" i="12"/>
  <c r="AG135" i="12"/>
  <c r="AG136" i="12"/>
  <c r="AG137" i="12"/>
  <c r="AG138" i="12"/>
  <c r="AG139" i="12"/>
  <c r="AG140" i="12"/>
  <c r="AG141" i="12"/>
  <c r="AG142" i="12"/>
  <c r="AG143" i="12"/>
  <c r="AG144" i="12"/>
  <c r="AG145" i="12"/>
  <c r="AG146" i="12"/>
  <c r="AG147" i="12"/>
  <c r="AG148" i="12"/>
  <c r="AG149" i="12"/>
  <c r="AG150" i="12"/>
  <c r="AG151" i="12"/>
  <c r="AG152" i="12"/>
  <c r="AG153" i="12"/>
  <c r="AG154" i="12"/>
  <c r="AG155" i="12"/>
  <c r="AG156" i="12"/>
  <c r="AG157" i="12"/>
  <c r="AG158" i="12"/>
  <c r="AG159" i="12"/>
  <c r="AG160" i="12"/>
  <c r="AG161" i="12"/>
  <c r="AG162" i="12"/>
  <c r="AG163" i="12"/>
  <c r="AG164" i="12"/>
  <c r="AG165" i="12"/>
  <c r="AG166" i="12"/>
  <c r="AG167" i="12"/>
  <c r="AG168" i="12"/>
  <c r="AG169" i="12"/>
  <c r="AG170" i="12"/>
  <c r="AG171" i="12"/>
  <c r="AG172" i="12"/>
  <c r="AG173" i="12"/>
  <c r="AG174" i="12"/>
  <c r="AG175" i="12"/>
  <c r="AG176" i="12"/>
  <c r="AG177" i="12"/>
  <c r="AG178" i="12"/>
  <c r="AG179" i="12"/>
  <c r="AG180" i="12"/>
  <c r="AG181" i="12"/>
  <c r="AG182" i="12"/>
  <c r="AG183" i="12"/>
  <c r="AG184" i="12"/>
  <c r="AG185" i="12"/>
  <c r="AG186" i="12"/>
  <c r="AG187" i="12"/>
  <c r="AG188" i="12"/>
  <c r="AG189" i="12"/>
  <c r="AG190" i="12"/>
  <c r="AG191" i="12"/>
  <c r="AG193" i="12"/>
  <c r="AG4" i="12"/>
  <c r="AG5" i="12"/>
  <c r="AB3" i="12" l="1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G3" i="12"/>
  <c r="H3" i="12" l="1"/>
  <c r="I3" i="12" l="1"/>
  <c r="J3" i="12" l="1"/>
  <c r="K3" i="12" l="1"/>
  <c r="L3" i="12" l="1"/>
  <c r="M3" i="12" l="1"/>
  <c r="N3" i="12" l="1"/>
  <c r="O3" i="12" l="1"/>
  <c r="P3" i="12" l="1"/>
  <c r="Q3" i="12" l="1"/>
  <c r="R3" i="12" l="1"/>
  <c r="S3" i="12" l="1"/>
  <c r="T3" i="12" l="1"/>
  <c r="U3" i="12" l="1"/>
  <c r="V3" i="12" l="1"/>
  <c r="W3" i="12" l="1"/>
  <c r="X3" i="12" l="1"/>
  <c r="Y3" i="12" l="1"/>
  <c r="Z3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Aieshwarya Davis</author>
    <author>Dereje Ketema Wolde</author>
  </authors>
  <commentList>
    <comment ref="C15" authorId="0" shapeId="0" xr:uid="{053B8EFF-6E39-42DB-9EDE-DB399462C19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2017 postponed to 2019</t>
        </r>
      </text>
    </comment>
    <comment ref="AH15" authorId="0" shapeId="0" xr:uid="{42929CDE-F9C3-4A56-A6C4-2500E47E80B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2017 postponed to 2019</t>
        </r>
      </text>
    </comment>
    <comment ref="C26" authorId="0" shapeId="0" xr:uid="{5F70F93D-18A9-475E-8748-6CAC61EF1F5E}">
      <text>
        <r>
          <rPr>
            <b/>
            <sz val="9"/>
            <color indexed="81"/>
            <rFont val="Tahoma"/>
            <charset val="1"/>
          </rPr>
          <t>Aieshwarya Davis:</t>
        </r>
        <r>
          <rPr>
            <sz val="9"/>
            <color indexed="81"/>
            <rFont val="Tahoma"/>
            <charset val="1"/>
          </rPr>
          <t xml:space="preserve">
No 2013 data available</t>
        </r>
      </text>
    </comment>
    <comment ref="C28" authorId="0" shapeId="0" xr:uid="{FC0DAEA1-60FB-41F2-95C9-A3A3EEA39669}">
      <text>
        <r>
          <rPr>
            <b/>
            <sz val="9"/>
            <color indexed="81"/>
            <rFont val="Tahoma"/>
            <charset val="1"/>
          </rPr>
          <t>Aieshwarya Davis:</t>
        </r>
        <r>
          <rPr>
            <sz val="9"/>
            <color indexed="81"/>
            <rFont val="Tahoma"/>
            <charset val="1"/>
          </rPr>
          <t xml:space="preserve">
No 2011 entry available  </t>
        </r>
      </text>
    </comment>
    <comment ref="C57" authorId="0" shapeId="0" xr:uid="{21B6EDC0-87B5-48E0-8288-0F247939B776}">
      <text>
        <r>
          <rPr>
            <b/>
            <sz val="9"/>
            <color indexed="81"/>
            <rFont val="Tahoma"/>
            <charset val="1"/>
          </rPr>
          <t>Aieshwarya Davis:</t>
        </r>
        <r>
          <rPr>
            <sz val="9"/>
            <color indexed="81"/>
            <rFont val="Tahoma"/>
            <charset val="1"/>
          </rPr>
          <t xml:space="preserve">
No data for 2018
</t>
        </r>
      </text>
    </comment>
    <comment ref="C59" authorId="0" shapeId="0" xr:uid="{1F642D8D-9F06-4F5F-919A-18ED4B615124}">
      <text>
        <r>
          <rPr>
            <b/>
            <sz val="9"/>
            <color indexed="81"/>
            <rFont val="Tahoma"/>
            <charset val="1"/>
          </rPr>
          <t>Aieshwarya Davis:</t>
        </r>
        <r>
          <rPr>
            <sz val="9"/>
            <color indexed="81"/>
            <rFont val="Tahoma"/>
            <charset val="1"/>
          </rPr>
          <t xml:space="preserve">
NO 2006 data available</t>
        </r>
      </text>
    </comment>
    <comment ref="V69" authorId="1" shapeId="0" xr:uid="{3928B555-B617-44E6-A88A-8D57D1FEA621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https://ask.rks-gov.net/en/kosovo-agency-of-statistics/agriculture/agriculture-census</t>
        </r>
      </text>
    </comment>
    <comment ref="C70" authorId="0" shapeId="0" xr:uid="{D7533DC5-A605-40E4-A233-D3AB0337774B}">
      <text>
        <r>
          <rPr>
            <b/>
            <sz val="9"/>
            <color indexed="81"/>
            <rFont val="Tahoma"/>
            <charset val="1"/>
          </rPr>
          <t>Aieshwarya Davis:</t>
        </r>
        <r>
          <rPr>
            <sz val="9"/>
            <color indexed="81"/>
            <rFont val="Tahoma"/>
            <charset val="1"/>
          </rPr>
          <t xml:space="preserve">
no 2018 data available</t>
        </r>
      </text>
    </comment>
    <comment ref="N98" authorId="1" shapeId="0" xr:uid="{8E425D10-7AC1-45B2-8A0F-56016CE063A8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http://www.nigerianstat.gov.ng/nada/index.php/catalog/15</t>
        </r>
      </text>
    </comment>
    <comment ref="N144" authorId="1" shapeId="0" xr:uid="{9A2646CF-569B-4562-9532-389ADD81E539}">
      <text>
        <r>
          <rPr>
            <b/>
            <sz val="9"/>
            <color indexed="81"/>
            <rFont val="Tahoma"/>
            <charset val="1"/>
          </rPr>
          <t>Dereje Ketema Wolde:</t>
        </r>
        <r>
          <rPr>
            <sz val="9"/>
            <color indexed="81"/>
            <rFont val="Tahoma"/>
            <charset val="1"/>
          </rPr>
          <t xml:space="preserve">
https://www.gso.gov.vn/default_en.aspx?tabid=515&amp;idmid=5&amp;ItemID=8058</t>
        </r>
      </text>
    </comment>
    <comment ref="K163" authorId="1" shapeId="0" xr:uid="{C6E34F25-3EEF-4F6A-A32F-87A38AB8B4B7}">
      <text>
        <r>
          <rPr>
            <b/>
            <sz val="9"/>
            <color indexed="81"/>
            <rFont val="Tahoma"/>
          </rPr>
          <t>Dereje Ketema Wolde:</t>
        </r>
        <r>
          <rPr>
            <sz val="9"/>
            <color indexed="81"/>
            <rFont val="Tahoma"/>
          </rPr>
          <t xml:space="preserve">
https://ec.europa.eu/eurostat/statistics-explained/index.php?title=Glossary:Farm_structure_survey_(FSS)</t>
        </r>
      </text>
    </comment>
    <comment ref="M163" authorId="1" shapeId="0" xr:uid="{1AE6D136-2D24-4066-BEAC-D7CC2DB0F5E4}">
      <text>
        <r>
          <rPr>
            <b/>
            <sz val="9"/>
            <color indexed="81"/>
            <rFont val="Tahoma"/>
          </rPr>
          <t>Dereje Ketema Wolde:</t>
        </r>
        <r>
          <rPr>
            <sz val="9"/>
            <color indexed="81"/>
            <rFont val="Tahoma"/>
          </rPr>
          <t xml:space="preserve">
https://ec.europa.eu/eurostat/statistics-explained/index.php?title=Glossary:Farm_structure_survey_(FSS)</t>
        </r>
      </text>
    </comment>
    <comment ref="O163" authorId="1" shapeId="0" xr:uid="{F7BEEE30-FA6F-4488-8C9F-1F7B03F1E5A0}">
      <text>
        <r>
          <rPr>
            <b/>
            <sz val="9"/>
            <color indexed="81"/>
            <rFont val="Tahoma"/>
          </rPr>
          <t>Dereje Ketema Wolde:</t>
        </r>
        <r>
          <rPr>
            <sz val="9"/>
            <color indexed="81"/>
            <rFont val="Tahoma"/>
          </rPr>
          <t xml:space="preserve">
https://ec.europa.eu/eurostat/statistics-explained/index.php?title=Glossary:Farm_structure_survey_(FSS)</t>
        </r>
      </text>
    </comment>
    <comment ref="X163" authorId="1" shapeId="0" xr:uid="{6477E48A-1953-4BDF-9441-2F1176B359B4}">
      <text>
        <r>
          <rPr>
            <b/>
            <sz val="9"/>
            <color indexed="81"/>
            <rFont val="Tahoma"/>
          </rPr>
          <t>Dereje Ketema Wolde:</t>
        </r>
        <r>
          <rPr>
            <sz val="9"/>
            <color indexed="81"/>
            <rFont val="Tahoma"/>
          </rPr>
          <t xml:space="preserve">
https://ec.europa.eu/eurostat/statistics-explained/index.php?title=Glossary:Farm_structure_survey_(FSS)</t>
        </r>
      </text>
    </comment>
    <comment ref="Y178" authorId="1" shapeId="0" xr:uid="{99E1AA8C-9468-40D3-9993-0AD70B2C7323}">
      <text>
        <r>
          <rPr>
            <b/>
            <sz val="9"/>
            <color indexed="81"/>
            <rFont val="Tahoma"/>
          </rPr>
          <t>Dereje Ketema Wolde:</t>
        </r>
        <r>
          <rPr>
            <sz val="9"/>
            <color indexed="81"/>
            <rFont val="Tahoma"/>
          </rPr>
          <t xml:space="preserve">
https://www.cbs.gov.il/en/mediarelease/pages/2020/national-agricultural-census-2017-crops.aspx</t>
        </r>
      </text>
    </comment>
    <comment ref="O192" authorId="1" shapeId="0" xr:uid="{AE449917-B721-4885-A2C5-21B6EE142F8A}">
      <text>
        <r>
          <rPr>
            <b/>
            <sz val="9"/>
            <color indexed="81"/>
            <rFont val="Tahoma"/>
          </rPr>
          <t>Dereje Ketema Wolde:</t>
        </r>
        <r>
          <rPr>
            <sz val="9"/>
            <color indexed="81"/>
            <rFont val="Tahoma"/>
          </rPr>
          <t xml:space="preserve">
https://ec.europa.eu/eurostat/statistics-explained/index.php/Glossary:Farm_structure_survey_(FSS)</t>
        </r>
      </text>
    </comment>
  </commentList>
</comments>
</file>

<file path=xl/sharedStrings.xml><?xml version="1.0" encoding="utf-8"?>
<sst xmlns="http://schemas.openxmlformats.org/spreadsheetml/2006/main" count="1181" uniqueCount="424">
  <si>
    <t>Time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</si>
  <si>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</si>
  <si>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</si>
  <si>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</si>
  <si>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</si>
  <si>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</si>
  <si>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</si>
  <si>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</si>
  <si>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</si>
  <si>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</si>
  <si>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</si>
  <si>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</si>
  <si>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</si>
  <si>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</si>
  <si>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</si>
  <si>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</si>
  <si>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</si>
  <si>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</si>
  <si>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</si>
  <si>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</si>
  <si>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</si>
  <si>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</si>
  <si>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</si>
  <si>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</si>
  <si>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</si>
  <si>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</si>
  <si>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Code</t>
  </si>
  <si>
    <t>Series</t>
  </si>
  <si>
    <t>SCALE</t>
  </si>
  <si>
    <t>AFG</t>
  </si>
  <si>
    <t>SC.CEN.AGRI.ZS</t>
  </si>
  <si>
    <t>ALB</t>
  </si>
  <si>
    <t>DZA</t>
  </si>
  <si>
    <t>AGO</t>
  </si>
  <si>
    <t>ATG</t>
  </si>
  <si>
    <t>ARG</t>
  </si>
  <si>
    <t>ARM</t>
  </si>
  <si>
    <t>AZE</t>
  </si>
  <si>
    <t>BGD</t>
  </si>
  <si>
    <t>BLR</t>
  </si>
  <si>
    <t>BLZ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</si>
  <si>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</si>
  <si>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</si>
  <si>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</si>
  <si>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</si>
  <si>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</si>
  <si>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</si>
  <si>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</si>
  <si>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</si>
  <si>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</si>
  <si>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</si>
  <si>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</si>
  <si>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</si>
  <si>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</si>
  <si>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</si>
  <si>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</si>
  <si>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</si>
  <si>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</si>
  <si>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</si>
  <si>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</si>
  <si>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</si>
  <si>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</si>
  <si>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</si>
  <si>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</si>
  <si>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DJI</t>
  </si>
  <si>
    <t>DMA</t>
  </si>
  <si>
    <t>DOM</t>
  </si>
  <si>
    <t>ECU</t>
  </si>
  <si>
    <t>EGY</t>
  </si>
  <si>
    <t>SLV</t>
  </si>
  <si>
    <t>GNQ</t>
  </si>
  <si>
    <t>ERI</t>
  </si>
  <si>
    <t>SWZ</t>
  </si>
  <si>
    <t>ETH</t>
  </si>
  <si>
    <t>FJI</t>
  </si>
  <si>
    <t>GAB</t>
  </si>
  <si>
    <t>GMB</t>
  </si>
  <si>
    <t>GEO</t>
  </si>
  <si>
    <t>GHA</t>
  </si>
  <si>
    <t>GRD</t>
  </si>
  <si>
    <t>GTM</t>
  </si>
  <si>
    <t>GIN</t>
  </si>
  <si>
    <t>GNB</t>
  </si>
  <si>
    <t>GUY</t>
  </si>
  <si>
    <t>HTI</t>
  </si>
  <si>
    <t>HND</t>
  </si>
  <si>
    <t>IND</t>
  </si>
  <si>
    <t>IDN</t>
  </si>
  <si>
    <t>IRN</t>
  </si>
  <si>
    <t>IRQ</t>
  </si>
  <si>
    <t>JAM</t>
  </si>
  <si>
    <t>JOR</t>
  </si>
  <si>
    <t>KAZ</t>
  </si>
  <si>
    <t>KEN</t>
  </si>
  <si>
    <t>KIR</t>
  </si>
  <si>
    <t>XKX</t>
  </si>
  <si>
    <t>KGZ</t>
  </si>
  <si>
    <t>LAO</t>
  </si>
  <si>
    <t>LBN</t>
  </si>
  <si>
    <t>LSO</t>
  </si>
  <si>
    <t>LBR</t>
  </si>
  <si>
    <t>LBY</t>
  </si>
  <si>
    <t>MKD</t>
  </si>
  <si>
    <t>MDG</t>
  </si>
  <si>
    <t>MWI</t>
  </si>
  <si>
    <t>MYS</t>
  </si>
  <si>
    <t>MDV</t>
  </si>
  <si>
    <t>MLI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</si>
  <si>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</si>
  <si>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</si>
  <si>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</si>
  <si>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</si>
  <si>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</si>
  <si>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</si>
  <si>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</si>
  <si>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</si>
  <si>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</si>
  <si>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</si>
  <si>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</si>
  <si>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</si>
  <si>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</si>
  <si>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</si>
  <si>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NIC</t>
  </si>
  <si>
    <t>NER</t>
  </si>
  <si>
    <t>NGA</t>
  </si>
  <si>
    <t>PAK</t>
  </si>
  <si>
    <t>PLW</t>
  </si>
  <si>
    <t>PAN</t>
  </si>
  <si>
    <t>PNG</t>
  </si>
  <si>
    <t>PRY</t>
  </si>
  <si>
    <t>PER</t>
  </si>
  <si>
    <t>PHL</t>
  </si>
  <si>
    <t>POL</t>
  </si>
  <si>
    <t>ROU</t>
  </si>
  <si>
    <t>RUS</t>
  </si>
  <si>
    <t>RWA</t>
  </si>
  <si>
    <t>WSM</t>
  </si>
  <si>
    <t>STP</t>
  </si>
  <si>
    <t>SEN</t>
  </si>
  <si>
    <t>SRB</t>
  </si>
  <si>
    <t>SYC</t>
  </si>
  <si>
    <t>SLE</t>
  </si>
  <si>
    <t>SLB</t>
  </si>
  <si>
    <t>SOM</t>
  </si>
  <si>
    <t>ZAF</t>
  </si>
  <si>
    <t>SSD</t>
  </si>
  <si>
    <t>LKA</t>
  </si>
  <si>
    <t>KNA</t>
  </si>
  <si>
    <t>LCA</t>
  </si>
  <si>
    <t>VCT</t>
  </si>
  <si>
    <t>SDN</t>
  </si>
  <si>
    <t>SUR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</si>
  <si>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</si>
  <si>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</si>
  <si>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</si>
  <si>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</si>
  <si>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</si>
  <si>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</si>
  <si>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</si>
  <si>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</si>
  <si>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</si>
  <si>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</si>
  <si>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</si>
  <si>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</si>
  <si>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</si>
  <si>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</si>
  <si>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URY</t>
  </si>
  <si>
    <t>UZB</t>
  </si>
  <si>
    <t>VUT</t>
  </si>
  <si>
    <t>VEN</t>
  </si>
  <si>
    <t>VNM</t>
  </si>
  <si>
    <t>PSE</t>
  </si>
  <si>
    <t>YEM</t>
  </si>
  <si>
    <t>ZMB</t>
  </si>
  <si>
    <t>ZWE</t>
  </si>
  <si>
    <t>BHR</t>
  </si>
  <si>
    <t>BRB</t>
  </si>
  <si>
    <t>CZE</t>
  </si>
  <si>
    <t>GRC</t>
  </si>
  <si>
    <t>HUN</t>
  </si>
  <si>
    <t>LVA</t>
  </si>
  <si>
    <t>LTU</t>
  </si>
  <si>
    <t>OMN</t>
  </si>
  <si>
    <t>SAU</t>
  </si>
  <si>
    <t>SVK</t>
  </si>
  <si>
    <t>AND</t>
  </si>
  <si>
    <t>ARE</t>
  </si>
  <si>
    <t>AUS</t>
  </si>
  <si>
    <t>AUT</t>
  </si>
  <si>
    <t>BEL</t>
  </si>
  <si>
    <t>BHS</t>
  </si>
  <si>
    <t>BRN</t>
  </si>
  <si>
    <t>CAN</t>
  </si>
  <si>
    <t>CHE</t>
  </si>
  <si>
    <t>CYP</t>
  </si>
  <si>
    <t>DEU</t>
  </si>
  <si>
    <t>DNK</t>
  </si>
  <si>
    <t>ESP</t>
  </si>
  <si>
    <t>EST</t>
  </si>
  <si>
    <t>FIN</t>
  </si>
  <si>
    <t>FRA</t>
  </si>
  <si>
    <t>GBR</t>
  </si>
  <si>
    <t>IRL</t>
  </si>
  <si>
    <t>ISL</t>
  </si>
  <si>
    <t>ISR</t>
  </si>
  <si>
    <t>ITA</t>
  </si>
  <si>
    <t>JPN</t>
  </si>
  <si>
    <t>KOR</t>
  </si>
  <si>
    <t>KWT</t>
  </si>
  <si>
    <t>LUX</t>
  </si>
  <si>
    <t>MLT</t>
  </si>
  <si>
    <t>NLD</t>
  </si>
  <si>
    <t>NOR</t>
  </si>
  <si>
    <t>NZL</t>
  </si>
  <si>
    <t>PRT</t>
  </si>
  <si>
    <t>QAT</t>
  </si>
  <si>
    <t>SGP</t>
  </si>
  <si>
    <t>SVN</t>
  </si>
  <si>
    <t>SWE</t>
  </si>
  <si>
    <t>USA</t>
  </si>
  <si>
    <t>NSO</t>
  </si>
  <si>
    <t>MDL</t>
  </si>
  <si>
    <t>FAO</t>
  </si>
  <si>
    <t>Removed data point ( it was given 1 in 2019 SPI data collection) from SPI 2020 as the census was not compeleted or conducted</t>
  </si>
  <si>
    <t>If there are changes</t>
  </si>
  <si>
    <t>#</t>
  </si>
  <si>
    <t>Country</t>
  </si>
  <si>
    <t>Years</t>
  </si>
  <si>
    <t>Afghanistan</t>
  </si>
  <si>
    <t>https://www.fao.org/world-census-agriculture/wcarounds/wca2020/countries2020/en/</t>
  </si>
  <si>
    <t>Albania</t>
  </si>
  <si>
    <t>Algeria</t>
  </si>
  <si>
    <t>Angola</t>
  </si>
  <si>
    <t>Antigua and Barbuda</t>
  </si>
  <si>
    <t>Argentina</t>
  </si>
  <si>
    <t>Armenia</t>
  </si>
  <si>
    <t>Azerbaijan</t>
  </si>
  <si>
    <t>Bangladesh</t>
  </si>
  <si>
    <t>Belarus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</si>
  <si>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</si>
  <si>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</si>
  <si>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</si>
  <si>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</si>
  <si>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</si>
  <si>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</si>
  <si>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</si>
  <si>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</si>
  <si>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</si>
  <si>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</si>
  <si>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</si>
  <si>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</si>
  <si>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</si>
  <si>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</si>
  <si>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</si>
  <si>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</si>
  <si>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</si>
  <si>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</si>
  <si>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</si>
  <si>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</si>
  <si>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</si>
  <si>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</si>
  <si>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Côte d'Ivoire</t>
  </si>
  <si>
    <t>Croatia</t>
  </si>
  <si>
    <t>Djibouti</t>
  </si>
  <si>
    <t>Dominica</t>
  </si>
  <si>
    <t>Dominican Republic</t>
  </si>
  <si>
    <t>https://api.worldbank.org/v2/sources/2/country/dom/metadata?format=json</t>
  </si>
  <si>
    <t>Ecuador</t>
  </si>
  <si>
    <t>Egypt, Arab Rep.</t>
  </si>
  <si>
    <t>El Salvador</t>
  </si>
  <si>
    <t>Equatorial Guinea</t>
  </si>
  <si>
    <t>Eritrea</t>
  </si>
  <si>
    <t>Eswatini</t>
  </si>
  <si>
    <t>Ethiopia</t>
  </si>
  <si>
    <t>Fiji</t>
  </si>
  <si>
    <t>Gabon</t>
  </si>
  <si>
    <t>Gambia, The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</si>
  <si>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</si>
  <si>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</si>
  <si>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</si>
  <si>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</si>
  <si>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</si>
  <si>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</si>
  <si>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</si>
  <si>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</si>
  <si>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</si>
  <si>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India</t>
  </si>
  <si>
    <t>Indonesia</t>
  </si>
  <si>
    <t>Iran, Islamic Rep.</t>
  </si>
  <si>
    <t>Iraq</t>
  </si>
  <si>
    <t>Jamaica</t>
  </si>
  <si>
    <t>Jordan</t>
  </si>
  <si>
    <t>Kazakhstan</t>
  </si>
  <si>
    <t>Kenya</t>
  </si>
  <si>
    <t>Kiribati</t>
  </si>
  <si>
    <t>Kosovo</t>
  </si>
  <si>
    <t>Kyrgyz Republic</t>
  </si>
  <si>
    <t>Lao PDR</t>
  </si>
  <si>
    <t>Lebanon</t>
  </si>
  <si>
    <t>o</t>
  </si>
  <si>
    <t>Lesotho</t>
  </si>
  <si>
    <t>Liberia</t>
  </si>
  <si>
    <t>Libya</t>
  </si>
  <si>
    <t>Macedonia, FYR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</si>
  <si>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</si>
  <si>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</si>
  <si>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</si>
  <si>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</si>
  <si>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</si>
  <si>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</si>
  <si>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</si>
  <si>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</si>
  <si>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</si>
  <si>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</si>
  <si>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</si>
  <si>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</si>
  <si>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</si>
  <si>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</si>
  <si>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</si>
  <si>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</si>
  <si>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</si>
  <si>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</si>
  <si>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</si>
  <si>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Nicaragua</t>
  </si>
  <si>
    <t>Niger</t>
  </si>
  <si>
    <t>Nigeria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</si>
  <si>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</si>
  <si>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</si>
  <si>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</si>
  <si>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</si>
  <si>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</si>
  <si>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</si>
  <si>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</si>
  <si>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</si>
  <si>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Romania</t>
  </si>
  <si>
    <t>Russian Federation</t>
  </si>
  <si>
    <t>Rwanda</t>
  </si>
  <si>
    <t>Samoa</t>
  </si>
  <si>
    <t>São Tomé and Principe</t>
  </si>
  <si>
    <t>Senegal</t>
  </si>
  <si>
    <t>Serbia</t>
  </si>
  <si>
    <t>https://popispoljoprivrede.stat.gov.rs/sr-cyrl/</t>
  </si>
  <si>
    <t>Seychelles</t>
  </si>
  <si>
    <t>Sierra Leone</t>
  </si>
  <si>
    <t>Solomon Islands</t>
  </si>
  <si>
    <t>Somalia</t>
  </si>
  <si>
    <t>South Africa</t>
  </si>
  <si>
    <t>South Sudan</t>
  </si>
  <si>
    <t>Sri Lanka</t>
  </si>
  <si>
    <t>St. Kitts and Nevis</t>
  </si>
  <si>
    <t>St. Lucia</t>
  </si>
  <si>
    <t>St. Vincent and the Grenadines</t>
  </si>
  <si>
    <t>Sudan</t>
  </si>
  <si>
    <t>Suriname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</si>
  <si>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</si>
  <si>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</si>
  <si>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</si>
  <si>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</si>
  <si>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</si>
  <si>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</si>
  <si>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</si>
  <si>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</si>
  <si>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</si>
  <si>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</si>
  <si>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</si>
  <si>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</si>
  <si>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</si>
  <si>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</si>
  <si>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Uruguay</t>
  </si>
  <si>
    <t>Uzbekistan</t>
  </si>
  <si>
    <t>Vanuatu</t>
  </si>
  <si>
    <t>Venezuela, RB</t>
  </si>
  <si>
    <t>Vietnam</t>
  </si>
  <si>
    <t>West Bank and Gaza</t>
  </si>
  <si>
    <t>Yemen, Rep.</t>
  </si>
  <si>
    <t>Zambia</t>
  </si>
  <si>
    <t>Zimbabwe</t>
  </si>
  <si>
    <t>Bahrain</t>
  </si>
  <si>
    <t>Barbados</t>
  </si>
  <si>
    <t>Czech Republic</t>
  </si>
  <si>
    <t>Greece</t>
  </si>
  <si>
    <t>Hungary</t>
  </si>
  <si>
    <t>Latvia</t>
  </si>
  <si>
    <t>Lithuania</t>
  </si>
  <si>
    <t>Oman</t>
  </si>
  <si>
    <t>Saudi Arabia</t>
  </si>
  <si>
    <t>Slovak Republic</t>
  </si>
  <si>
    <t>https://www.fao.org/world-census-agriculture/wca-round/wca-round-2020/en</t>
  </si>
  <si>
    <t>Andorra</t>
  </si>
  <si>
    <t>United Arab Emirates</t>
  </si>
  <si>
    <t>Australia</t>
  </si>
  <si>
    <t>Austria</t>
  </si>
  <si>
    <t>Belgium</t>
  </si>
  <si>
    <t>Bahamas, The</t>
  </si>
  <si>
    <t>Brunei Darussalam</t>
  </si>
  <si>
    <t>Canada</t>
  </si>
  <si>
    <t>Switzerland</t>
  </si>
  <si>
    <t>Cyprus</t>
  </si>
  <si>
    <t>Germany</t>
  </si>
  <si>
    <t>Denmark</t>
  </si>
  <si>
    <t>Spain</t>
  </si>
  <si>
    <t>Estonia</t>
  </si>
  <si>
    <t>Finland</t>
  </si>
  <si>
    <t>France</t>
  </si>
  <si>
    <t>United Kingdom</t>
  </si>
  <si>
    <t>Ireland</t>
  </si>
  <si>
    <t>Iceland</t>
  </si>
  <si>
    <t>Israel</t>
  </si>
  <si>
    <t>Italy</t>
  </si>
  <si>
    <t>Japan</t>
  </si>
  <si>
    <t>Korea, Rep.</t>
  </si>
  <si>
    <t>Kuwait</t>
  </si>
  <si>
    <t>Luxembourg</t>
  </si>
  <si>
    <t>Malta</t>
  </si>
  <si>
    <t>Netherlands</t>
  </si>
  <si>
    <t>Norway</t>
  </si>
  <si>
    <t>New Zealand</t>
  </si>
  <si>
    <t>Portugal</t>
  </si>
  <si>
    <t>Qatar</t>
  </si>
  <si>
    <t>Singapore</t>
  </si>
  <si>
    <t>#Singapore Stat provided the SPI team with documentation on their agriculture statistics. https://www.singstat.gov.sg/publications/reference/ebook/industry/agriculture-animal-production-and-fisheries</t>
  </si>
  <si>
    <t>Slovenia</t>
  </si>
  <si>
    <t>Sweden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</si>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</sst>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9"/>
      <color indexed="81"/>
      <name val="Tahoma"/>
    </font>
    <font>
      <b/>
      <sz val="9"/>
      <color indexed="81"/>
      <name val="Tahoma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5" fillId="0" borderId="0" applyNumberFormat="0" applyFill="0" applyBorder="0" applyAlignment="0" applyProtection="0"/>
  </cellStyleXfs>
  <cellXfs count="43">
    <xf numFmtId="0" fontId="0" fillId="0" borderId="0" xfId="0"/>
    <xf numFmtId="0" fontId="7" fillId="0" borderId="1" xfId="0" applyFont="1" applyBorder="1"/>
    <xf numFmtId="0" fontId="7" fillId="3" borderId="1" xfId="0" applyFont="1" applyFill="1" applyBorder="1"/>
    <xf numFmtId="0" fontId="7" fillId="0" borderId="0" xfId="0" applyFont="1"/>
    <xf numFmtId="0" fontId="7" fillId="2" borderId="1" xfId="0" applyFont="1" applyFill="1" applyBorder="1"/>
    <xf numFmtId="0" fontId="6" fillId="0" borderId="0" xfId="1" applyFont="1" applyAlignment="1">
      <alignment vertical="center"/>
    </xf>
    <xf numFmtId="0" fontId="8" fillId="2" borderId="0" xfId="1" applyFont="1" applyFill="1" applyAlignment="1">
      <alignment vertical="center"/>
    </xf>
    <xf numFmtId="0" fontId="8" fillId="4" borderId="0" xfId="1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0" fillId="0" borderId="1" xfId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1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1" fillId="0" borderId="1" xfId="1" applyFont="1" applyBorder="1"/>
    <xf numFmtId="0" fontId="6" fillId="0" borderId="1" xfId="1" applyFont="1" applyBorder="1"/>
    <xf numFmtId="0" fontId="6" fillId="0" borderId="1" xfId="0" applyFont="1" applyBorder="1"/>
    <xf numFmtId="0" fontId="11" fillId="0" borderId="1" xfId="0" applyFont="1" applyBorder="1"/>
    <xf numFmtId="0" fontId="8" fillId="2" borderId="0" xfId="1" applyFont="1" applyFill="1"/>
    <xf numFmtId="164" fontId="6" fillId="0" borderId="1" xfId="1" applyNumberFormat="1" applyFont="1" applyBorder="1"/>
    <xf numFmtId="0" fontId="7" fillId="5" borderId="1" xfId="0" applyFont="1" applyFill="1" applyBorder="1"/>
    <xf numFmtId="0" fontId="7" fillId="0" borderId="2" xfId="0" applyFont="1" applyBorder="1"/>
    <xf numFmtId="0" fontId="11" fillId="6" borderId="1" xfId="0" applyFont="1" applyFill="1" applyBorder="1" applyAlignment="1">
      <alignment vertical="center"/>
    </xf>
    <xf numFmtId="0" fontId="7" fillId="6" borderId="0" xfId="0" applyFont="1" applyFill="1" applyAlignment="1">
      <alignment vertical="center"/>
    </xf>
    <xf numFmtId="0" fontId="7" fillId="6" borderId="1" xfId="0" applyFont="1" applyFill="1" applyBorder="1"/>
    <xf numFmtId="0" fontId="7" fillId="0" borderId="1" xfId="0" applyFont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8" fillId="2" borderId="1" xfId="1" applyFont="1" applyFill="1" applyBorder="1" applyAlignment="1">
      <alignment vertical="center"/>
    </xf>
    <xf numFmtId="0" fontId="6" fillId="3" borderId="1" xfId="1" applyFont="1" applyFill="1" applyBorder="1" applyAlignment="1">
      <alignment vertical="center"/>
    </xf>
    <xf numFmtId="164" fontId="11" fillId="0" borderId="1" xfId="1" applyNumberFormat="1" applyFont="1" applyBorder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15" fillId="0" borderId="0" xfId="2" applyFill="1" applyAlignment="1">
      <alignment vertical="center"/>
    </xf>
    <xf numFmtId="0" fontId="15" fillId="0" borderId="0" xfId="2" applyAlignment="1">
      <alignment vertical="center"/>
    </xf>
  </cellXfs>
  <cellStyles count="3">
    <cellStyle name="Hyperlink" xfId="2" builtinId="8"/>
    <cellStyle name="Normal" xfId="0" builtinId="0"/>
    <cellStyle name="Normal_cty99" xfId="1" xr:uid="{08DC0870-B341-4A11-9F0A-D3E50EF68A67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o.org/world-census-agriculture/wca-round/wca-round-2020/en" TargetMode="External"/><Relationship Id="rId18" Type="http://schemas.openxmlformats.org/officeDocument/2006/relationships/hyperlink" Target="https://www.fao.org/world-census-agriculture/wca-round/wca-round-2020/en" TargetMode="External"/><Relationship Id="rId26" Type="http://schemas.openxmlformats.org/officeDocument/2006/relationships/hyperlink" Target="https://www.fao.org/world-census-agriculture/wcarounds/wca2020/countries2020/en/" TargetMode="External"/><Relationship Id="rId39" Type="http://schemas.openxmlformats.org/officeDocument/2006/relationships/hyperlink" Target="https://www.fao.org/world-census-agriculture/wcarounds/wca2020/countries2020/en/" TargetMode="External"/><Relationship Id="rId21" Type="http://schemas.openxmlformats.org/officeDocument/2006/relationships/hyperlink" Target="https://www.fao.org/world-census-agriculture/wca-round/wca-round-2020/en" TargetMode="External"/><Relationship Id="rId34" Type="http://schemas.openxmlformats.org/officeDocument/2006/relationships/hyperlink" Target="https://www.fao.org/world-census-agriculture/wcarounds/wca2020/countries2020/en/" TargetMode="External"/><Relationship Id="rId42" Type="http://schemas.openxmlformats.org/officeDocument/2006/relationships/vmlDrawing" Target="../drawings/vmlDrawing1.vml"/><Relationship Id="rId7" Type="http://schemas.openxmlformats.org/officeDocument/2006/relationships/hyperlink" Target="https://www.fao.org/world-census-agriculture/wca-round/wca-round-2020/en" TargetMode="External"/><Relationship Id="rId2" Type="http://schemas.openxmlformats.org/officeDocument/2006/relationships/hyperlink" Target="https://www.fao.org/world-census-agriculture/wca-round/wca-round-2020/en" TargetMode="External"/><Relationship Id="rId16" Type="http://schemas.openxmlformats.org/officeDocument/2006/relationships/hyperlink" Target="https://www.fao.org/world-census-agriculture/wca-round/wca-round-2020/en" TargetMode="External"/><Relationship Id="rId20" Type="http://schemas.openxmlformats.org/officeDocument/2006/relationships/hyperlink" Target="https://www.fao.org/world-census-agriculture/wca-round/wca-round-2020/en" TargetMode="External"/><Relationship Id="rId29" Type="http://schemas.openxmlformats.org/officeDocument/2006/relationships/hyperlink" Target="https://www.fao.org/world-census-agriculture/wcarounds/wca2020/countries2020/en/" TargetMode="External"/><Relationship Id="rId41" Type="http://schemas.openxmlformats.org/officeDocument/2006/relationships/printerSettings" Target="../printerSettings/printerSettings2.bin"/><Relationship Id="rId1" Type="http://schemas.openxmlformats.org/officeDocument/2006/relationships/hyperlink" Target="https://api.worldbank.org/v2/sources/2/country/dom/metadata?format=json" TargetMode="External"/><Relationship Id="rId6" Type="http://schemas.openxmlformats.org/officeDocument/2006/relationships/hyperlink" Target="https://www.fao.org/world-census-agriculture/wca-round/wca-round-2020/en" TargetMode="External"/><Relationship Id="rId11" Type="http://schemas.openxmlformats.org/officeDocument/2006/relationships/hyperlink" Target="https://www.fao.org/world-census-agriculture/wca-round/wca-round-2020/en" TargetMode="External"/><Relationship Id="rId24" Type="http://schemas.openxmlformats.org/officeDocument/2006/relationships/hyperlink" Target="https://www.fao.org/world-census-agriculture/wcarounds/wca2020/countries2020/en/" TargetMode="External"/><Relationship Id="rId32" Type="http://schemas.openxmlformats.org/officeDocument/2006/relationships/hyperlink" Target="https://www.fao.org/world-census-agriculture/wcarounds/wca2020/countries2020/en/" TargetMode="External"/><Relationship Id="rId37" Type="http://schemas.openxmlformats.org/officeDocument/2006/relationships/hyperlink" Target="https://www.fao.org/world-census-agriculture/wcarounds/wca2020/countries2020/en/" TargetMode="External"/><Relationship Id="rId40" Type="http://schemas.openxmlformats.org/officeDocument/2006/relationships/hyperlink" Target="https://www.fao.org/world-census-agriculture/wcarounds/wca2020/countries2020/en/" TargetMode="External"/><Relationship Id="rId5" Type="http://schemas.openxmlformats.org/officeDocument/2006/relationships/hyperlink" Target="https://www.fao.org/world-census-agriculture/wca-round/wca-round-2020/en" TargetMode="External"/><Relationship Id="rId15" Type="http://schemas.openxmlformats.org/officeDocument/2006/relationships/hyperlink" Target="https://www.fao.org/world-census-agriculture/wca-round/wca-round-2020/en" TargetMode="External"/><Relationship Id="rId23" Type="http://schemas.openxmlformats.org/officeDocument/2006/relationships/hyperlink" Target="https://www.fao.org/world-census-agriculture/wca-round/wca-round-2020/en" TargetMode="External"/><Relationship Id="rId28" Type="http://schemas.openxmlformats.org/officeDocument/2006/relationships/hyperlink" Target="https://www.fao.org/world-census-agriculture/wcarounds/wca2020/countries2020/en/" TargetMode="External"/><Relationship Id="rId36" Type="http://schemas.openxmlformats.org/officeDocument/2006/relationships/hyperlink" Target="https://www.fao.org/world-census-agriculture/wcarounds/wca2020/countries2020/en/" TargetMode="External"/><Relationship Id="rId10" Type="http://schemas.openxmlformats.org/officeDocument/2006/relationships/hyperlink" Target="https://www.fao.org/world-census-agriculture/wca-round/wca-round-2020/en" TargetMode="External"/><Relationship Id="rId19" Type="http://schemas.openxmlformats.org/officeDocument/2006/relationships/hyperlink" Target="https://www.fao.org/world-census-agriculture/wca-round/wca-round-2020/en" TargetMode="External"/><Relationship Id="rId31" Type="http://schemas.openxmlformats.org/officeDocument/2006/relationships/hyperlink" Target="https://www.fao.org/world-census-agriculture/wcarounds/wca2020/countries2020/en/" TargetMode="External"/><Relationship Id="rId4" Type="http://schemas.openxmlformats.org/officeDocument/2006/relationships/hyperlink" Target="https://www.fao.org/world-census-agriculture/wca-round/wca-round-2020/en" TargetMode="External"/><Relationship Id="rId9" Type="http://schemas.openxmlformats.org/officeDocument/2006/relationships/hyperlink" Target="https://www.fao.org/world-census-agriculture/wca-round/wca-round-2020/en" TargetMode="External"/><Relationship Id="rId14" Type="http://schemas.openxmlformats.org/officeDocument/2006/relationships/hyperlink" Target="https://www.fao.org/world-census-agriculture/wca-round/wca-round-2020/en" TargetMode="External"/><Relationship Id="rId22" Type="http://schemas.openxmlformats.org/officeDocument/2006/relationships/hyperlink" Target="https://www.fao.org/world-census-agriculture/wca-round/wca-round-2020/en" TargetMode="External"/><Relationship Id="rId27" Type="http://schemas.openxmlformats.org/officeDocument/2006/relationships/hyperlink" Target="https://www.fao.org/world-census-agriculture/wcarounds/wca2020/countries2020/en/" TargetMode="External"/><Relationship Id="rId30" Type="http://schemas.openxmlformats.org/officeDocument/2006/relationships/hyperlink" Target="https://www.fao.org/world-census-agriculture/wcarounds/wca2020/countries2020/en/" TargetMode="External"/><Relationship Id="rId35" Type="http://schemas.openxmlformats.org/officeDocument/2006/relationships/hyperlink" Target="https://www.fao.org/world-census-agriculture/wcarounds/wca2020/countries2020/en/" TargetMode="External"/><Relationship Id="rId43" Type="http://schemas.openxmlformats.org/officeDocument/2006/relationships/comments" Target="../comments1.xml"/><Relationship Id="rId8" Type="http://schemas.openxmlformats.org/officeDocument/2006/relationships/hyperlink" Target="https://www.fao.org/world-census-agriculture/wca-round/wca-round-2020/en" TargetMode="External"/><Relationship Id="rId3" Type="http://schemas.openxmlformats.org/officeDocument/2006/relationships/hyperlink" Target="https://www.fao.org/world-census-agriculture/wca-round/wca-round-2020/en" TargetMode="External"/><Relationship Id="rId12" Type="http://schemas.openxmlformats.org/officeDocument/2006/relationships/hyperlink" Target="https://www.fao.org/world-census-agriculture/wca-round/wca-round-2020/en" TargetMode="External"/><Relationship Id="rId17" Type="http://schemas.openxmlformats.org/officeDocument/2006/relationships/hyperlink" Target="https://www.fao.org/world-census-agriculture/wca-round/wca-round-2020/en" TargetMode="External"/><Relationship Id="rId25" Type="http://schemas.openxmlformats.org/officeDocument/2006/relationships/hyperlink" Target="https://www.fao.org/world-census-agriculture/wcarounds/wca2020/countries2020/en/" TargetMode="External"/><Relationship Id="rId33" Type="http://schemas.openxmlformats.org/officeDocument/2006/relationships/hyperlink" Target="https://www.fao.org/world-census-agriculture/wcarounds/wca2020/countries2020/en/" TargetMode="External"/><Relationship Id="rId38" Type="http://schemas.openxmlformats.org/officeDocument/2006/relationships/hyperlink" Target="https://www.fao.org/world-census-agriculture/wcarounds/wca2020/countries2020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2D5F-DF10-48EE-B97E-9DE14B8986B5}">
  <dimension ref="A1:AB192"/>
  <sheetViews>
    <sheetView workbookViewId="0">
      <selection sqref="A1:C2"/>
    </sheetView>
  </sheetViews>
  <sheetFormatPr defaultRowHeight="15"/>
  <cols>
    <col min="2" max="2" width="19" customWidth="1"/>
  </cols>
  <sheetData>
    <row r="1" spans="1:28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>
      <c r="A2" t="s">
        <v>26</v>
      </c>
      <c r="B2" t="s">
        <v>27</v>
      </c>
      <c r="C2" t="s">
        <v>28</v>
      </c>
    </row>
    <row r="3" spans="1:28">
      <c r="A3" t="s">
        <v>29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t="s">
        <v>31</v>
      </c>
      <c r="B4" t="s">
        <v>30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t="s">
        <v>32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t="s">
        <v>33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t="s">
        <v>34</v>
      </c>
      <c r="B7" t="s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t="s">
        <v>35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</row>
    <row r="9" spans="1:28">
      <c r="A9" t="s">
        <v>36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t="s">
        <v>37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t="s">
        <v>38</v>
      </c>
      <c r="B11" t="s">
        <v>30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t="s">
        <v>39</v>
      </c>
      <c r="B12" t="s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t="s">
        <v>40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t="s">
        <v>41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t="s">
        <v>42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</row>
    <row r="16" spans="1:28">
      <c r="A16" t="s">
        <v>43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t="s">
        <v>44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 t="s">
        <v>45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 t="s">
        <v>46</v>
      </c>
      <c r="B19" t="s">
        <v>30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</row>
    <row r="20" spans="1:28">
      <c r="A20" t="s">
        <v>47</v>
      </c>
      <c r="B20" t="s">
        <v>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 t="s">
        <v>48</v>
      </c>
      <c r="B21" t="s">
        <v>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t="s">
        <v>49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t="s">
        <v>50</v>
      </c>
      <c r="B23" t="s">
        <v>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t="s">
        <v>51</v>
      </c>
      <c r="B24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 t="s">
        <v>52</v>
      </c>
      <c r="B25" t="s">
        <v>30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t="s">
        <v>53</v>
      </c>
      <c r="B26" t="s">
        <v>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 t="s">
        <v>54</v>
      </c>
      <c r="B27" t="s">
        <v>30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55</v>
      </c>
      <c r="B28" t="s">
        <v>30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t="s">
        <v>56</v>
      </c>
      <c r="B29" t="s">
        <v>30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</row>
    <row r="30" spans="1:28">
      <c r="A30" t="s">
        <v>57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 t="s">
        <v>58</v>
      </c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 t="s">
        <v>59</v>
      </c>
      <c r="B32" t="s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t="s">
        <v>60</v>
      </c>
      <c r="B33" t="s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t="s">
        <v>61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 t="s">
        <v>62</v>
      </c>
      <c r="B35" t="s">
        <v>30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t="s">
        <v>63</v>
      </c>
      <c r="B36" t="s">
        <v>30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t="s">
        <v>64</v>
      </c>
      <c r="B37" t="s">
        <v>30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t="s">
        <v>65</v>
      </c>
      <c r="B38" t="s">
        <v>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 t="s">
        <v>66</v>
      </c>
      <c r="B39" t="s">
        <v>30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t="s">
        <v>67</v>
      </c>
      <c r="B40" t="s">
        <v>30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 t="s">
        <v>68</v>
      </c>
      <c r="B41" t="s">
        <v>30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 t="s">
        <v>69</v>
      </c>
      <c r="B42" t="s">
        <v>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t="s">
        <v>70</v>
      </c>
      <c r="B43" t="s">
        <v>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71</v>
      </c>
      <c r="B44" t="s">
        <v>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 t="s">
        <v>72</v>
      </c>
      <c r="B45" t="s">
        <v>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 t="s">
        <v>73</v>
      </c>
      <c r="B46" t="s">
        <v>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>
      <c r="A47" t="s">
        <v>74</v>
      </c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>
      <c r="A48" t="s">
        <v>75</v>
      </c>
      <c r="B48" t="s">
        <v>30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>
      <c r="A49" t="s">
        <v>76</v>
      </c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 t="s">
        <v>77</v>
      </c>
      <c r="B50" t="s">
        <v>30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>
      <c r="A51" t="s">
        <v>78</v>
      </c>
      <c r="B51" t="s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</row>
    <row r="52" spans="1:28">
      <c r="A52" t="s">
        <v>79</v>
      </c>
      <c r="B52" t="s">
        <v>30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>
      <c r="A53" t="s">
        <v>80</v>
      </c>
      <c r="B53" t="s">
        <v>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>
      <c r="A54" t="s">
        <v>81</v>
      </c>
      <c r="B54" t="s">
        <v>30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 t="s">
        <v>82</v>
      </c>
      <c r="B55" t="s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>
      <c r="A56" t="s">
        <v>83</v>
      </c>
      <c r="B56" t="s">
        <v>30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>
      <c r="A57" t="s">
        <v>84</v>
      </c>
      <c r="B57" t="s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>
      <c r="A58" t="s">
        <v>85</v>
      </c>
      <c r="B58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>
      <c r="A59" t="s">
        <v>86</v>
      </c>
      <c r="B59" t="s">
        <v>30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</row>
    <row r="60" spans="1:28">
      <c r="A60" t="s">
        <v>87</v>
      </c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>
      <c r="A61" t="s">
        <v>88</v>
      </c>
      <c r="B61" t="s">
        <v>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>
      <c r="A62" t="s">
        <v>89</v>
      </c>
      <c r="B62" t="s">
        <v>30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 t="s">
        <v>90</v>
      </c>
      <c r="B63" t="s">
        <v>30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>
      <c r="A64" t="s">
        <v>91</v>
      </c>
      <c r="B64" t="s">
        <v>30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</row>
    <row r="65" spans="1:28">
      <c r="A65" t="s">
        <v>92</v>
      </c>
      <c r="B65" t="s">
        <v>30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 t="s">
        <v>93</v>
      </c>
      <c r="B66" t="s">
        <v>30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</row>
    <row r="67" spans="1:28">
      <c r="A67" t="s">
        <v>94</v>
      </c>
      <c r="B67" t="s">
        <v>30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>
      <c r="A68" t="s">
        <v>95</v>
      </c>
      <c r="B68" t="s">
        <v>30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>
      <c r="A69" t="s">
        <v>96</v>
      </c>
      <c r="B69" t="s">
        <v>30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>
      <c r="A70" t="s">
        <v>97</v>
      </c>
      <c r="B70" t="s">
        <v>30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>
      <c r="A71" t="s">
        <v>98</v>
      </c>
      <c r="B71" t="s">
        <v>30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 t="s">
        <v>99</v>
      </c>
      <c r="B72" t="s">
        <v>30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t="s">
        <v>100</v>
      </c>
      <c r="B73" t="s">
        <v>30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>
      <c r="A74" t="s">
        <v>101</v>
      </c>
      <c r="B74" t="s">
        <v>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>
      <c r="A75" t="s">
        <v>102</v>
      </c>
      <c r="B75" t="s">
        <v>30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>
      <c r="A76" t="s">
        <v>103</v>
      </c>
      <c r="B76" t="s">
        <v>30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>
      <c r="A77" t="s">
        <v>104</v>
      </c>
      <c r="B77" t="s">
        <v>30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>
      <c r="A78" t="s">
        <v>105</v>
      </c>
      <c r="B78" t="s">
        <v>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>
      <c r="A79" t="s">
        <v>106</v>
      </c>
      <c r="B79" t="s">
        <v>30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>
      <c r="A80" t="s">
        <v>107</v>
      </c>
      <c r="B80" t="s">
        <v>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t="s">
        <v>108</v>
      </c>
      <c r="B81" t="s">
        <v>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>
      <c r="A82" t="s">
        <v>109</v>
      </c>
      <c r="B82" t="s">
        <v>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>
      <c r="A83" t="s">
        <v>110</v>
      </c>
      <c r="B83" t="s">
        <v>30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>
      <c r="A84" t="s">
        <v>111</v>
      </c>
      <c r="B84" t="s">
        <v>30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>
      <c r="A85" t="s">
        <v>112</v>
      </c>
      <c r="B85" t="s">
        <v>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</row>
    <row r="86" spans="1:28">
      <c r="A86" t="s">
        <v>113</v>
      </c>
      <c r="B86" t="s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 t="s">
        <v>114</v>
      </c>
      <c r="B87" t="s">
        <v>30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t="s">
        <v>115</v>
      </c>
      <c r="B88" t="s">
        <v>30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 t="s">
        <v>116</v>
      </c>
      <c r="B89" t="s">
        <v>30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</row>
    <row r="90" spans="1:28">
      <c r="A90" t="s">
        <v>117</v>
      </c>
      <c r="B90" t="s">
        <v>30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 t="s">
        <v>118</v>
      </c>
      <c r="B91" t="s">
        <v>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t="s">
        <v>119</v>
      </c>
      <c r="B92" t="s">
        <v>30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t="s">
        <v>120</v>
      </c>
      <c r="B93" t="s">
        <v>30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t="s">
        <v>121</v>
      </c>
      <c r="B94" t="s">
        <v>30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 t="s">
        <v>122</v>
      </c>
      <c r="B95" t="s">
        <v>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123</v>
      </c>
      <c r="B96" t="s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124</v>
      </c>
      <c r="B97" t="s">
        <v>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t="s">
        <v>125</v>
      </c>
      <c r="B98" t="s">
        <v>30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t="s">
        <v>126</v>
      </c>
      <c r="B99" t="s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 t="s">
        <v>127</v>
      </c>
      <c r="B100" t="s">
        <v>30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 t="s">
        <v>128</v>
      </c>
      <c r="B101" t="s">
        <v>30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 t="s">
        <v>129</v>
      </c>
      <c r="B102" t="s">
        <v>30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>
      <c r="A103" t="s">
        <v>130</v>
      </c>
      <c r="B103" t="s">
        <v>30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>
      <c r="A104" t="s">
        <v>131</v>
      </c>
      <c r="B104" t="s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>
      <c r="A105" t="s">
        <v>132</v>
      </c>
      <c r="B105" t="s">
        <v>30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>
      <c r="A106" t="s">
        <v>133</v>
      </c>
      <c r="B106" t="s">
        <v>30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>
      <c r="A107" t="s">
        <v>134</v>
      </c>
      <c r="B107" t="s">
        <v>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</row>
    <row r="108" spans="1:28">
      <c r="A108" t="s">
        <v>135</v>
      </c>
      <c r="B108" t="s">
        <v>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>
      <c r="A109" t="s">
        <v>136</v>
      </c>
      <c r="B109" t="s">
        <v>30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>
      <c r="A110" t="s">
        <v>137</v>
      </c>
      <c r="B110" t="s">
        <v>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>
      <c r="A111" t="s">
        <v>138</v>
      </c>
      <c r="B111" t="s">
        <v>30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>
      <c r="A112" t="s">
        <v>139</v>
      </c>
      <c r="B112" t="s">
        <v>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>
      <c r="A113" t="s">
        <v>140</v>
      </c>
      <c r="B113" t="s">
        <v>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 t="s">
        <v>141</v>
      </c>
      <c r="B114" t="s">
        <v>30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>
      <c r="A115" t="s">
        <v>142</v>
      </c>
      <c r="B115" t="s">
        <v>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>
      <c r="A116" t="s">
        <v>143</v>
      </c>
      <c r="B116" t="s">
        <v>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 t="s">
        <v>144</v>
      </c>
      <c r="B117" t="s">
        <v>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</row>
    <row r="118" spans="1:28">
      <c r="A118" t="s">
        <v>145</v>
      </c>
      <c r="B118" t="s">
        <v>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>
      <c r="A119" t="s">
        <v>146</v>
      </c>
      <c r="B119" t="s">
        <v>30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>
      <c r="A120" t="s">
        <v>147</v>
      </c>
      <c r="B120" t="s">
        <v>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>
      <c r="A121" t="s">
        <v>148</v>
      </c>
      <c r="B121" t="s">
        <v>30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>
      <c r="A122" t="s">
        <v>149</v>
      </c>
      <c r="B122" t="s">
        <v>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>
      <c r="A123" t="s">
        <v>150</v>
      </c>
      <c r="B123" t="s">
        <v>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>
      <c r="A124" t="s">
        <v>151</v>
      </c>
      <c r="B124" t="s">
        <v>30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>
      <c r="A125" t="s">
        <v>152</v>
      </c>
      <c r="B125" t="s">
        <v>30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>
      <c r="A126" t="s">
        <v>153</v>
      </c>
      <c r="B126" t="s">
        <v>30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>
      <c r="A127" t="s">
        <v>154</v>
      </c>
      <c r="B127" t="s">
        <v>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</row>
    <row r="128" spans="1:28">
      <c r="A128" t="s">
        <v>155</v>
      </c>
      <c r="B128" t="s">
        <v>30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>
      <c r="A129" t="s">
        <v>156</v>
      </c>
      <c r="B129" t="s">
        <v>30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</row>
    <row r="130" spans="1:28">
      <c r="A130" t="s">
        <v>157</v>
      </c>
      <c r="B130" t="s">
        <v>30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>
      <c r="A131" t="s">
        <v>158</v>
      </c>
      <c r="B131" t="s">
        <v>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>
      <c r="A132" t="s">
        <v>159</v>
      </c>
      <c r="B132" t="s">
        <v>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>
      <c r="A133" t="s">
        <v>160</v>
      </c>
      <c r="B133" t="s">
        <v>30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>
      <c r="A134" t="s">
        <v>161</v>
      </c>
      <c r="B134" t="s">
        <v>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>
      <c r="A135" t="s">
        <v>162</v>
      </c>
      <c r="B135" t="s">
        <v>30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>
      <c r="A136" t="s">
        <v>163</v>
      </c>
      <c r="B136" t="s">
        <v>30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>
      <c r="A137" t="s">
        <v>164</v>
      </c>
      <c r="B137" t="s">
        <v>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>
      <c r="A138" t="s">
        <v>165</v>
      </c>
      <c r="B138" t="s">
        <v>30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>
      <c r="A139" t="s">
        <v>166</v>
      </c>
      <c r="B139" t="s">
        <v>30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>
      <c r="A140" t="s">
        <v>167</v>
      </c>
      <c r="B140" t="s">
        <v>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>
      <c r="A141" t="s">
        <v>168</v>
      </c>
      <c r="B141" t="s">
        <v>30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>
      <c r="A142" t="s">
        <v>169</v>
      </c>
      <c r="B142" t="s">
        <v>30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>
      <c r="A143" t="s">
        <v>170</v>
      </c>
      <c r="B143" t="s">
        <v>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</row>
    <row r="144" spans="1:28">
      <c r="A144" t="s">
        <v>171</v>
      </c>
      <c r="B144" t="s">
        <v>30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>
      <c r="A145" t="s">
        <v>172</v>
      </c>
      <c r="B145" t="s">
        <v>30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>
      <c r="A146" t="s">
        <v>173</v>
      </c>
      <c r="B146" t="s">
        <v>30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>
      <c r="A147" t="s">
        <v>174</v>
      </c>
      <c r="B147" t="s">
        <v>30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>
      <c r="A148" t="s">
        <v>175</v>
      </c>
      <c r="B148" t="s">
        <v>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>
      <c r="A149" t="s">
        <v>176</v>
      </c>
      <c r="B149" t="s">
        <v>30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>
      <c r="A150" t="s">
        <v>177</v>
      </c>
      <c r="B150" t="s">
        <v>30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>
      <c r="A151" t="s">
        <v>178</v>
      </c>
      <c r="B151" t="s">
        <v>30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>
      <c r="A152" t="s">
        <v>179</v>
      </c>
      <c r="B152" t="s">
        <v>30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>
      <c r="A153" t="s">
        <v>180</v>
      </c>
      <c r="B153" t="s">
        <v>30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>
      <c r="A154" t="s">
        <v>181</v>
      </c>
      <c r="B154" t="s">
        <v>30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>
      <c r="A155" t="s">
        <v>182</v>
      </c>
      <c r="B155" t="s">
        <v>30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>
      <c r="A156" t="s">
        <v>183</v>
      </c>
      <c r="B156" t="s">
        <v>30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>
      <c r="A157" t="s">
        <v>184</v>
      </c>
      <c r="B157" t="s">
        <v>30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>
      <c r="A158" t="s">
        <v>185</v>
      </c>
      <c r="B158" t="s">
        <v>30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>
      <c r="A159" t="s">
        <v>186</v>
      </c>
      <c r="B159" t="s">
        <v>30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 t="s">
        <v>187</v>
      </c>
      <c r="B160" t="s">
        <v>30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>
      <c r="A161" t="s">
        <v>188</v>
      </c>
      <c r="B161" t="s">
        <v>30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>
      <c r="A162" t="s">
        <v>189</v>
      </c>
      <c r="B162" t="s">
        <v>30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1</v>
      </c>
      <c r="N162">
        <v>0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</row>
    <row r="163" spans="1:28">
      <c r="A163" t="s">
        <v>190</v>
      </c>
      <c r="B163" t="s">
        <v>30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>
      <c r="A164" t="s">
        <v>191</v>
      </c>
      <c r="B164" t="s">
        <v>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>
      <c r="A165" t="s">
        <v>192</v>
      </c>
      <c r="B165" t="s">
        <v>30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</row>
    <row r="166" spans="1:28">
      <c r="A166" t="s">
        <v>193</v>
      </c>
      <c r="B166" t="s">
        <v>30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>
      <c r="A167" t="s">
        <v>194</v>
      </c>
      <c r="B167" t="s">
        <v>30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>
      <c r="A168" t="s">
        <v>195</v>
      </c>
      <c r="B168" t="s">
        <v>30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>
      <c r="A169" t="s">
        <v>196</v>
      </c>
      <c r="B169" t="s">
        <v>30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>
      <c r="A170" t="s">
        <v>197</v>
      </c>
      <c r="B170" t="s">
        <v>30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>
      <c r="A171" t="s">
        <v>198</v>
      </c>
      <c r="B171" t="s">
        <v>30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>
      <c r="A172" t="s">
        <v>199</v>
      </c>
      <c r="B172" t="s">
        <v>30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>
      <c r="A173" t="s">
        <v>200</v>
      </c>
      <c r="B173" t="s">
        <v>30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>
      <c r="A174" t="s">
        <v>201</v>
      </c>
      <c r="B174" t="s">
        <v>30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>
      <c r="A175" t="s">
        <v>202</v>
      </c>
      <c r="B175" t="s">
        <v>30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>
      <c r="A176" t="s">
        <v>203</v>
      </c>
      <c r="B176" t="s">
        <v>30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>
      <c r="A177" t="s">
        <v>204</v>
      </c>
      <c r="B177" t="s">
        <v>30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</row>
    <row r="178" spans="1:28">
      <c r="A178" t="s">
        <v>205</v>
      </c>
      <c r="B178" t="s">
        <v>30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>
      <c r="A179" t="s">
        <v>206</v>
      </c>
      <c r="B179" t="s">
        <v>30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>
      <c r="A180" t="s">
        <v>207</v>
      </c>
      <c r="B180" t="s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>
      <c r="A181" t="s">
        <v>208</v>
      </c>
      <c r="B181" t="s">
        <v>30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>
      <c r="A182" t="s">
        <v>209</v>
      </c>
      <c r="B182" t="s">
        <v>30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>
      <c r="A183" t="s">
        <v>210</v>
      </c>
      <c r="B183" t="s">
        <v>30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>
      <c r="A184" t="s">
        <v>211</v>
      </c>
      <c r="B184" t="s">
        <v>30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>
      <c r="A185" t="s">
        <v>212</v>
      </c>
      <c r="B185" t="s">
        <v>30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>
      <c r="A186" t="s">
        <v>213</v>
      </c>
      <c r="B186" t="s">
        <v>30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</row>
    <row r="187" spans="1:28">
      <c r="A187" t="s">
        <v>214</v>
      </c>
      <c r="B187" t="s">
        <v>30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>
      <c r="A188" t="s">
        <v>215</v>
      </c>
      <c r="B188" t="s">
        <v>30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>
      <c r="A189" t="s">
        <v>216</v>
      </c>
      <c r="B189" t="s">
        <v>30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>
      <c r="A190" t="s">
        <v>217</v>
      </c>
      <c r="B190" t="s">
        <v>30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>
      <c r="A191" t="s">
        <v>218</v>
      </c>
      <c r="B191" t="s">
        <v>30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>
      <c r="A192" t="s">
        <v>219</v>
      </c>
      <c r="B192" t="s">
        <v>30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</row>
  </sheetData>
  <phoneticPr fontId="1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20DE-DFEB-4690-A75E-6A3FFD9E47FC}">
  <dimension ref="A1:AJ193"/>
  <sheetViews>
    <sheetView tabSelected="1" zoomScale="81" zoomScaleNormal="81" workbookViewId="0">
      <pane xSplit="3" ySplit="3" topLeftCell="AA174" activePane="bottomRight" state="frozen"/>
      <selection pane="bottomRight" activeCell="AF177" sqref="AF177"/>
      <selection pane="bottomLeft" activeCell="A4" sqref="A4"/>
      <selection pane="topRight" activeCell="D1" sqref="D1"/>
    </sheetView>
  </sheetViews>
  <sheetFormatPr defaultColWidth="9.140625" defaultRowHeight="15.75"/>
  <cols>
    <col min="1" max="1" width="5.140625" style="5" customWidth="1"/>
    <col min="2" max="2" width="8.5703125" style="5" bestFit="1" customWidth="1"/>
    <col min="3" max="3" width="20.5703125" style="5" bestFit="1" customWidth="1"/>
    <col min="4" max="5" width="9.5703125" style="5" customWidth="1"/>
    <col min="6" max="9" width="9.140625" style="9"/>
    <col min="10" max="10" width="12" style="9" customWidth="1"/>
    <col min="11" max="24" width="9.140625" style="9"/>
    <col min="25" max="25" width="16.85546875" style="9" customWidth="1"/>
    <col min="26" max="30" width="9.140625" style="9"/>
    <col min="31" max="32" width="9.42578125" style="9" customWidth="1"/>
    <col min="33" max="33" width="44.42578125" style="9" bestFit="1" customWidth="1"/>
    <col min="34" max="34" width="24.140625" style="5" bestFit="1" customWidth="1"/>
    <col min="35" max="35" width="17.5703125" style="9" customWidth="1"/>
    <col min="36" max="16384" width="9.140625" style="9"/>
  </cols>
  <sheetData>
    <row r="1" spans="1:35">
      <c r="C1" s="9"/>
      <c r="D1" s="6" t="s">
        <v>220</v>
      </c>
      <c r="E1" s="7" t="s">
        <v>221</v>
      </c>
      <c r="F1" s="8" t="s">
        <v>222</v>
      </c>
      <c r="R1" s="9">
        <v>2010</v>
      </c>
      <c r="Y1" s="29" t="s">
        <v>223</v>
      </c>
      <c r="AH1" s="9" t="s">
        <v>224</v>
      </c>
    </row>
    <row r="2" spans="1:35"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26</v>
      </c>
      <c r="AC2" s="5"/>
      <c r="AD2" s="5"/>
      <c r="AE2" s="5"/>
      <c r="AF2" s="5"/>
    </row>
    <row r="3" spans="1:35">
      <c r="A3" s="10" t="s">
        <v>225</v>
      </c>
      <c r="B3" s="11" t="s">
        <v>26</v>
      </c>
      <c r="C3" s="11" t="s">
        <v>226</v>
      </c>
      <c r="D3" s="11">
        <v>1996</v>
      </c>
      <c r="E3" s="11">
        <v>1997</v>
      </c>
      <c r="F3" s="11">
        <v>1998</v>
      </c>
      <c r="G3" s="11">
        <f>+F3+1</f>
        <v>1999</v>
      </c>
      <c r="H3" s="11">
        <f t="shared" ref="H3:AB3" si="0">+G3+1</f>
        <v>2000</v>
      </c>
      <c r="I3" s="11">
        <f t="shared" si="0"/>
        <v>2001</v>
      </c>
      <c r="J3" s="11">
        <f t="shared" si="0"/>
        <v>2002</v>
      </c>
      <c r="K3" s="11">
        <f t="shared" si="0"/>
        <v>2003</v>
      </c>
      <c r="L3" s="11">
        <f t="shared" si="0"/>
        <v>2004</v>
      </c>
      <c r="M3" s="11">
        <f t="shared" si="0"/>
        <v>2005</v>
      </c>
      <c r="N3" s="11">
        <f t="shared" si="0"/>
        <v>2006</v>
      </c>
      <c r="O3" s="11">
        <f t="shared" si="0"/>
        <v>2007</v>
      </c>
      <c r="P3" s="11">
        <f t="shared" si="0"/>
        <v>2008</v>
      </c>
      <c r="Q3" s="11">
        <f t="shared" si="0"/>
        <v>2009</v>
      </c>
      <c r="R3" s="11">
        <f t="shared" si="0"/>
        <v>2010</v>
      </c>
      <c r="S3" s="11">
        <f t="shared" si="0"/>
        <v>2011</v>
      </c>
      <c r="T3" s="11">
        <f t="shared" si="0"/>
        <v>2012</v>
      </c>
      <c r="U3" s="11">
        <f t="shared" si="0"/>
        <v>2013</v>
      </c>
      <c r="V3" s="11">
        <f t="shared" si="0"/>
        <v>2014</v>
      </c>
      <c r="W3" s="11">
        <f t="shared" si="0"/>
        <v>2015</v>
      </c>
      <c r="X3" s="11">
        <f t="shared" si="0"/>
        <v>2016</v>
      </c>
      <c r="Y3" s="11">
        <f t="shared" si="0"/>
        <v>2017</v>
      </c>
      <c r="Z3" s="11">
        <f t="shared" si="0"/>
        <v>2018</v>
      </c>
      <c r="AA3" s="11">
        <v>2019</v>
      </c>
      <c r="AB3" s="11">
        <f t="shared" si="0"/>
        <v>2020</v>
      </c>
      <c r="AC3" s="38">
        <v>2021</v>
      </c>
      <c r="AD3" s="38">
        <v>2022</v>
      </c>
      <c r="AE3" s="38">
        <v>2023</v>
      </c>
      <c r="AF3" s="38">
        <v>2024</v>
      </c>
      <c r="AG3" s="12" t="s">
        <v>227</v>
      </c>
      <c r="AH3" s="36" t="s">
        <v>226</v>
      </c>
    </row>
    <row r="4" spans="1:35">
      <c r="A4" s="13">
        <v>1</v>
      </c>
      <c r="B4" s="14" t="s">
        <v>29</v>
      </c>
      <c r="C4" s="15" t="s">
        <v>228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6">
        <v>1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2">
        <v>0</v>
      </c>
      <c r="AC4" s="12"/>
      <c r="AD4" s="12"/>
      <c r="AE4" s="12"/>
      <c r="AF4" s="12"/>
      <c r="AG4" s="12" t="str">
        <f>+IF($D4=1,RIGHT(D$3,4)&amp;", ","")&amp;IF($E4=1,RIGHT(E$3,4)&amp;", ","")&amp;IF($F4=1,RIGHT(F$3,4)&amp;", ","")&amp;IF($G4=1,RIGHT(G$3,4)&amp;", ","")&amp;IF($H4=1,RIGHT(H$3,4)&amp;", ","")&amp;IF($I4=1,RIGHT(I$3,4)&amp;", ","")&amp;IF($J4=1,RIGHT(J$3,4)&amp;", ","")&amp;IF($K4=1,RIGHT(K$3,4)&amp;", ","")&amp;IF($L4=1,RIGHT(L$3,4)&amp;", ","")&amp;IF($M4=1,RIGHT(M$3,4)&amp;", ","")&amp;IF($N4=1,RIGHT(N$3,4)&amp;", ","")&amp;IF($O4=1,RIGHT(O$3,4)&amp;", ","")&amp;IF($P4=1,RIGHT(P$3,4)&amp;", ","")&amp;IF($Q4=1,RIGHT(Q$3,4)&amp;", ","")&amp;IF($R4=1,RIGHT(R$3,4)&amp;", ","")&amp;IF($S4=1,RIGHT(S$3,4)&amp;", ","")&amp;IF($T4=1,RIGHT(T$3,4)&amp;", ","")&amp;IF($U4=1,RIGHT(U$3,4)&amp;", ","")&amp;IF($V4=1,RIGHT(V$3,4)&amp;", ","")&amp;IF($W4=1,RIGHT(W$3,4)&amp;", ","")&amp;IF($X4=1,RIGHT(X$3,4)&amp;", ","")&amp;IF($Y4=1,RIGHT(Y$3,4)&amp;", ","")&amp;IF($Z4=1, RIGHT(Z$3,4)&amp;", ", "")&amp;IF($AA4=1, RIGHT(AA$3,4)&amp;", ", "")&amp;IF($AB4=1, RIGHT(AB$3,4)&amp;", ", "")&amp;IF($AC4=1, RIGHT(AC$3,4)&amp;", ", "")&amp;IF($AD4=1, RIGHT(AD$3,4)&amp;", ", "")&amp;IF($AE4=1, RIGHT(AE$3,4)&amp;", ", "")&amp;IF($AF4=1, RIGHT(AF$3,4)&amp;", ", "")</f>
        <v xml:space="preserve">2003, </v>
      </c>
      <c r="AH4" s="37" t="s">
        <v>228</v>
      </c>
      <c r="AI4" s="42" t="s">
        <v>229</v>
      </c>
    </row>
    <row r="5" spans="1:35">
      <c r="A5" s="13">
        <f t="shared" ref="A5:A68" si="1">1+A4</f>
        <v>2</v>
      </c>
      <c r="B5" s="14" t="s">
        <v>31</v>
      </c>
      <c r="C5" s="15" t="s">
        <v>230</v>
      </c>
      <c r="D5" s="15">
        <v>0</v>
      </c>
      <c r="E5" s="15">
        <v>0</v>
      </c>
      <c r="F5" s="16">
        <v>1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6">
        <v>1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2">
        <v>1</v>
      </c>
      <c r="AC5" s="12"/>
      <c r="AD5" s="12"/>
      <c r="AE5" s="12"/>
      <c r="AF5" s="12"/>
      <c r="AG5" s="12" t="str">
        <f t="shared" ref="AG4:AG67" si="2">+IF($D5=1,RIGHT(D$3,4)&amp;", ","")&amp;IF($E5=1,RIGHT(E$3,4)&amp;", ","")&amp;IF($F5=1,RIGHT(F$3,4)&amp;", ","")&amp;IF($G5=1,RIGHT(G$3,4)&amp;", ","")&amp;IF($H5=1,RIGHT(H$3,4)&amp;", ","")&amp;IF($I5=1,RIGHT(I$3,4)&amp;", ","")&amp;IF($J5=1,RIGHT(J$3,4)&amp;", ","")&amp;IF($K5=1,RIGHT(K$3,4)&amp;", ","")&amp;IF($L5=1,RIGHT(L$3,4)&amp;", ","")&amp;IF($M5=1,RIGHT(M$3,4)&amp;", ","")&amp;IF($N5=1,RIGHT(N$3,4)&amp;", ","")&amp;IF($O5=1,RIGHT(O$3,4)&amp;", ","")&amp;IF($P5=1,RIGHT(P$3,4)&amp;", ","")&amp;IF($Q5=1,RIGHT(Q$3,4)&amp;", ","")&amp;IF($R5=1,RIGHT(R$3,4)&amp;", ","")&amp;IF($S5=1,RIGHT(S$3,4)&amp;", ","")&amp;IF($T5=1,RIGHT(T$3,4)&amp;", ","")&amp;IF($U5=1,RIGHT(U$3,4)&amp;", ","")&amp;IF($V5=1,RIGHT(V$3,4)&amp;", ","")&amp;IF($W5=1,RIGHT(W$3,4)&amp;", ","")&amp;IF($X5=1,RIGHT(X$3,4)&amp;", ","")&amp;IF($Y5=1,RIGHT(Y$3,4)&amp;", ","")&amp;IF($Z5=1, RIGHT(Z$3,4)&amp;", ", "")&amp;IF($AA5=1, RIGHT(AA$3,4)&amp;", ", "")&amp;IF($AB5=1, RIGHT(AB$3,4)&amp;", ", "")&amp;IF($AC5=1, RIGHT(AC$3,4)&amp;", ", "")&amp;IF($AD5=1, RIGHT(AD$3,4)&amp;", ", "")&amp;IF($AE5=1, RIGHT(AE$3,4)&amp;", ", "")&amp;IF($AF5=1, RIGHT(AF$3,4)&amp;", ", "")</f>
        <v xml:space="preserve">1998, 2012, 2020, </v>
      </c>
      <c r="AH5" s="37" t="s">
        <v>230</v>
      </c>
      <c r="AI5" s="42" t="s">
        <v>229</v>
      </c>
    </row>
    <row r="6" spans="1:35">
      <c r="A6" s="13">
        <f t="shared" si="1"/>
        <v>3</v>
      </c>
      <c r="B6" s="14" t="s">
        <v>32</v>
      </c>
      <c r="C6" s="15" t="s">
        <v>231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6">
        <v>1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2">
        <v>0</v>
      </c>
      <c r="AC6" s="12"/>
      <c r="AD6" s="12"/>
      <c r="AE6" s="12"/>
      <c r="AF6" s="12"/>
      <c r="AG6" s="12" t="str">
        <f t="shared" si="2"/>
        <v xml:space="preserve">2001, </v>
      </c>
      <c r="AH6" s="37" t="s">
        <v>231</v>
      </c>
      <c r="AI6" s="42" t="s">
        <v>229</v>
      </c>
    </row>
    <row r="7" spans="1:35">
      <c r="A7" s="13">
        <f t="shared" si="1"/>
        <v>4</v>
      </c>
      <c r="B7" s="15" t="s">
        <v>33</v>
      </c>
      <c r="C7" s="15" t="s">
        <v>232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28">
        <v>1</v>
      </c>
      <c r="AB7" s="12">
        <v>0</v>
      </c>
      <c r="AC7" s="12"/>
      <c r="AD7" s="12"/>
      <c r="AE7" s="12">
        <v>1</v>
      </c>
      <c r="AF7" s="12"/>
      <c r="AG7" s="12" t="str">
        <f t="shared" si="2"/>
        <v xml:space="preserve">2019, 2023, </v>
      </c>
      <c r="AH7" s="37" t="s">
        <v>232</v>
      </c>
      <c r="AI7" s="42" t="s">
        <v>229</v>
      </c>
    </row>
    <row r="8" spans="1:35">
      <c r="A8" s="13">
        <f t="shared" si="1"/>
        <v>5</v>
      </c>
      <c r="B8" s="15" t="s">
        <v>34</v>
      </c>
      <c r="C8" s="15" t="s">
        <v>233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7">
        <v>1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6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2">
        <v>0</v>
      </c>
      <c r="AC8" s="12"/>
      <c r="AD8" s="12"/>
      <c r="AE8" s="12"/>
      <c r="AF8" s="12"/>
      <c r="AG8" s="12" t="str">
        <f t="shared" si="2"/>
        <v xml:space="preserve">2001, 2007, </v>
      </c>
      <c r="AH8" s="37" t="s">
        <v>233</v>
      </c>
      <c r="AI8" s="42" t="s">
        <v>229</v>
      </c>
    </row>
    <row r="9" spans="1:35">
      <c r="A9" s="13">
        <f t="shared" si="1"/>
        <v>6</v>
      </c>
      <c r="B9" s="14" t="s">
        <v>35</v>
      </c>
      <c r="C9" s="15" t="s">
        <v>234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6">
        <v>1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6">
        <v>1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6">
        <v>1</v>
      </c>
      <c r="AA9" s="15">
        <v>0</v>
      </c>
      <c r="AB9" s="12">
        <v>0</v>
      </c>
      <c r="AC9" s="12"/>
      <c r="AD9" s="12"/>
      <c r="AE9" s="12"/>
      <c r="AF9" s="12"/>
      <c r="AG9" s="12" t="str">
        <f t="shared" si="2"/>
        <v xml:space="preserve">2002, 2008, 2018, </v>
      </c>
      <c r="AH9" s="37" t="s">
        <v>234</v>
      </c>
      <c r="AI9" s="42" t="s">
        <v>229</v>
      </c>
    </row>
    <row r="10" spans="1:35">
      <c r="A10" s="13">
        <f t="shared" si="1"/>
        <v>7</v>
      </c>
      <c r="B10" s="14" t="s">
        <v>36</v>
      </c>
      <c r="C10" s="15" t="s">
        <v>235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6">
        <v>1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2">
        <v>0</v>
      </c>
      <c r="AC10" s="12"/>
      <c r="AD10" s="12"/>
      <c r="AE10" s="12"/>
      <c r="AF10" s="12"/>
      <c r="AG10" s="12" t="str">
        <f t="shared" si="2"/>
        <v xml:space="preserve">2014, </v>
      </c>
      <c r="AH10" s="37" t="s">
        <v>235</v>
      </c>
      <c r="AI10" s="42" t="s">
        <v>229</v>
      </c>
    </row>
    <row r="11" spans="1:35">
      <c r="A11" s="13">
        <f t="shared" si="1"/>
        <v>8</v>
      </c>
      <c r="B11" s="14" t="s">
        <v>37</v>
      </c>
      <c r="C11" s="15" t="s">
        <v>236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6">
        <v>1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6">
        <v>1</v>
      </c>
      <c r="X11" s="15">
        <v>0</v>
      </c>
      <c r="Y11" s="15">
        <v>0</v>
      </c>
      <c r="Z11" s="15">
        <v>0</v>
      </c>
      <c r="AA11" s="15">
        <v>0</v>
      </c>
      <c r="AB11" s="12">
        <v>0</v>
      </c>
      <c r="AC11" s="12"/>
      <c r="AD11" s="12"/>
      <c r="AE11" s="12"/>
      <c r="AF11" s="12"/>
      <c r="AG11" s="12" t="str">
        <f t="shared" si="2"/>
        <v xml:space="preserve">2005, 2015, </v>
      </c>
      <c r="AH11" s="37" t="s">
        <v>236</v>
      </c>
      <c r="AI11" s="42" t="s">
        <v>229</v>
      </c>
    </row>
    <row r="12" spans="1:35">
      <c r="A12" s="13">
        <f t="shared" si="1"/>
        <v>9</v>
      </c>
      <c r="B12" s="14" t="s">
        <v>38</v>
      </c>
      <c r="C12" s="15" t="s">
        <v>237</v>
      </c>
      <c r="D12" s="18">
        <v>1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6">
        <v>1</v>
      </c>
      <c r="N12" s="15">
        <v>0</v>
      </c>
      <c r="O12" s="15">
        <v>0</v>
      </c>
      <c r="P12" s="16">
        <v>1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28">
        <v>1</v>
      </c>
      <c r="AB12" s="12">
        <v>0</v>
      </c>
      <c r="AC12" s="12"/>
      <c r="AD12" s="12"/>
      <c r="AE12" s="12"/>
      <c r="AF12" s="12"/>
      <c r="AG12" s="12" t="str">
        <f t="shared" si="2"/>
        <v xml:space="preserve">1996, 2005, 2008, 2019, </v>
      </c>
      <c r="AH12" s="37" t="s">
        <v>237</v>
      </c>
      <c r="AI12" s="42" t="s">
        <v>229</v>
      </c>
    </row>
    <row r="13" spans="1:35">
      <c r="A13" s="13">
        <f t="shared" si="1"/>
        <v>10</v>
      </c>
      <c r="B13" s="15" t="s">
        <v>39</v>
      </c>
      <c r="C13" s="15" t="s">
        <v>238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28">
        <v>1</v>
      </c>
      <c r="AB13" s="12">
        <v>0</v>
      </c>
      <c r="AC13" s="12"/>
      <c r="AD13" s="12"/>
      <c r="AE13" s="12"/>
      <c r="AF13" s="12"/>
      <c r="AG13" s="12" t="str">
        <f t="shared" si="2"/>
        <v xml:space="preserve">2019, </v>
      </c>
      <c r="AH13" s="37" t="s">
        <v>238</v>
      </c>
      <c r="AI13" s="42" t="s">
        <v>229</v>
      </c>
    </row>
    <row r="14" spans="1:35">
      <c r="A14" s="13">
        <f t="shared" si="1"/>
        <v>11</v>
      </c>
      <c r="B14" s="14" t="s">
        <v>40</v>
      </c>
      <c r="C14" s="15" t="s">
        <v>239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6">
        <v>1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1</v>
      </c>
      <c r="AA14" s="15">
        <v>0</v>
      </c>
      <c r="AB14" s="12">
        <v>0</v>
      </c>
      <c r="AC14" s="12"/>
      <c r="AD14" s="12"/>
      <c r="AE14" s="12"/>
      <c r="AF14" s="12"/>
      <c r="AG14" s="12" t="str">
        <f t="shared" si="2"/>
        <v xml:space="preserve">2011, 2018, </v>
      </c>
      <c r="AH14" s="37" t="s">
        <v>239</v>
      </c>
      <c r="AI14" s="42" t="s">
        <v>229</v>
      </c>
    </row>
    <row r="15" spans="1:35">
      <c r="A15" s="13">
        <f t="shared" si="1"/>
        <v>12</v>
      </c>
      <c r="B15" s="14" t="s">
        <v>41</v>
      </c>
      <c r="C15" s="15" t="s">
        <v>240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28">
        <v>1</v>
      </c>
      <c r="AB15" s="12">
        <v>0</v>
      </c>
      <c r="AC15" s="12"/>
      <c r="AD15" s="12"/>
      <c r="AE15" s="12"/>
      <c r="AF15" s="12"/>
      <c r="AG15" s="12" t="str">
        <f t="shared" si="2"/>
        <v xml:space="preserve">2019, </v>
      </c>
      <c r="AH15" s="37" t="s">
        <v>240</v>
      </c>
      <c r="AI15" s="42" t="s">
        <v>229</v>
      </c>
    </row>
    <row r="16" spans="1:35">
      <c r="A16" s="13">
        <f t="shared" si="1"/>
        <v>13</v>
      </c>
      <c r="B16" s="14" t="s">
        <v>42</v>
      </c>
      <c r="C16" s="15" t="s">
        <v>241</v>
      </c>
      <c r="D16" s="15">
        <v>0</v>
      </c>
      <c r="E16" s="15">
        <v>0</v>
      </c>
      <c r="F16" s="15">
        <v>0</v>
      </c>
      <c r="G16" s="15">
        <v>0</v>
      </c>
      <c r="H16" s="16">
        <v>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6">
        <v>1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6">
        <v>1</v>
      </c>
      <c r="AB16" s="12">
        <v>0</v>
      </c>
      <c r="AC16" s="12"/>
      <c r="AD16" s="12"/>
      <c r="AE16" s="12"/>
      <c r="AF16" s="12"/>
      <c r="AG16" s="12" t="str">
        <f t="shared" si="2"/>
        <v xml:space="preserve">2000, 2009, 2019, </v>
      </c>
      <c r="AH16" s="37" t="s">
        <v>241</v>
      </c>
      <c r="AI16" s="42" t="s">
        <v>229</v>
      </c>
    </row>
    <row r="17" spans="1:35">
      <c r="A17" s="13">
        <f t="shared" si="1"/>
        <v>14</v>
      </c>
      <c r="B17" s="14" t="s">
        <v>43</v>
      </c>
      <c r="C17" s="15" t="s">
        <v>242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6">
        <v>1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2">
        <v>0</v>
      </c>
      <c r="AC17" s="12"/>
      <c r="AD17" s="12"/>
      <c r="AE17" s="12"/>
      <c r="AF17" s="12"/>
      <c r="AG17" s="12" t="str">
        <f t="shared" si="2"/>
        <v xml:space="preserve">2013, </v>
      </c>
      <c r="AH17" s="37" t="s">
        <v>242</v>
      </c>
      <c r="AI17" s="42" t="s">
        <v>229</v>
      </c>
    </row>
    <row r="18" spans="1:35">
      <c r="A18" s="13">
        <f t="shared" si="1"/>
        <v>15</v>
      </c>
      <c r="B18" s="14" t="s">
        <v>44</v>
      </c>
      <c r="C18" s="15" t="s">
        <v>243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2">
        <v>0</v>
      </c>
      <c r="AC18" s="12"/>
      <c r="AD18" s="12"/>
      <c r="AE18" s="12"/>
      <c r="AF18" s="12"/>
      <c r="AG18" s="12" t="str">
        <f t="shared" si="2"/>
        <v/>
      </c>
      <c r="AH18" s="37" t="s">
        <v>243</v>
      </c>
      <c r="AI18" s="42" t="s">
        <v>229</v>
      </c>
    </row>
    <row r="19" spans="1:35">
      <c r="A19" s="13">
        <f t="shared" si="1"/>
        <v>16</v>
      </c>
      <c r="B19" s="15" t="s">
        <v>45</v>
      </c>
      <c r="C19" s="15" t="s">
        <v>244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6">
        <v>1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6">
        <v>1</v>
      </c>
      <c r="X19" s="15">
        <v>0</v>
      </c>
      <c r="Y19" s="15">
        <v>0</v>
      </c>
      <c r="Z19" s="15">
        <v>0</v>
      </c>
      <c r="AA19" s="15">
        <v>0</v>
      </c>
      <c r="AB19" s="12">
        <v>0</v>
      </c>
      <c r="AC19" s="12"/>
      <c r="AD19" s="12"/>
      <c r="AE19" s="12"/>
      <c r="AF19" s="12"/>
      <c r="AG19" s="12" t="str">
        <f t="shared" si="2"/>
        <v xml:space="preserve">2004, 2015, </v>
      </c>
      <c r="AH19" s="37" t="s">
        <v>244</v>
      </c>
      <c r="AI19" s="42" t="s">
        <v>229</v>
      </c>
    </row>
    <row r="20" spans="1:35">
      <c r="A20" s="13">
        <f t="shared" si="1"/>
        <v>17</v>
      </c>
      <c r="B20" s="14" t="s">
        <v>46</v>
      </c>
      <c r="C20" s="15" t="s">
        <v>245</v>
      </c>
      <c r="D20" s="16">
        <v>1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6">
        <v>1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6">
        <v>1</v>
      </c>
      <c r="Z20" s="15">
        <v>0</v>
      </c>
      <c r="AA20" s="15">
        <v>0</v>
      </c>
      <c r="AB20" s="12">
        <v>0</v>
      </c>
      <c r="AC20" s="12"/>
      <c r="AD20" s="12"/>
      <c r="AE20" s="12"/>
      <c r="AF20" s="12"/>
      <c r="AG20" s="12" t="str">
        <f t="shared" si="2"/>
        <v xml:space="preserve">1996, 2006, 2017, </v>
      </c>
      <c r="AH20" s="37" t="s">
        <v>245</v>
      </c>
      <c r="AI20" s="42" t="s">
        <v>229</v>
      </c>
    </row>
    <row r="21" spans="1:35">
      <c r="A21" s="13">
        <f t="shared" si="1"/>
        <v>18</v>
      </c>
      <c r="B21" s="14" t="s">
        <v>47</v>
      </c>
      <c r="C21" s="15" t="s">
        <v>246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6">
        <v>1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2">
        <v>1</v>
      </c>
      <c r="AC21" s="12"/>
      <c r="AD21" s="12"/>
      <c r="AE21" s="12"/>
      <c r="AF21" s="12"/>
      <c r="AG21" s="12" t="str">
        <f t="shared" si="2"/>
        <v xml:space="preserve">2010, 2020, </v>
      </c>
      <c r="AH21" s="37" t="s">
        <v>246</v>
      </c>
      <c r="AI21" s="42" t="s">
        <v>229</v>
      </c>
    </row>
    <row r="22" spans="1:35">
      <c r="A22" s="13">
        <f t="shared" si="1"/>
        <v>19</v>
      </c>
      <c r="B22" s="14" t="s">
        <v>48</v>
      </c>
      <c r="C22" s="15" t="s">
        <v>247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6">
        <v>1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9">
        <v>0</v>
      </c>
      <c r="Y22" s="15">
        <v>0</v>
      </c>
      <c r="Z22" s="15">
        <v>0</v>
      </c>
      <c r="AA22" s="28">
        <v>0</v>
      </c>
      <c r="AB22" s="12">
        <v>0</v>
      </c>
      <c r="AC22" s="12"/>
      <c r="AD22" s="12"/>
      <c r="AE22" s="12"/>
      <c r="AF22" s="12"/>
      <c r="AG22" s="12" t="str">
        <f t="shared" si="2"/>
        <v xml:space="preserve">2010, </v>
      </c>
      <c r="AH22" s="37" t="s">
        <v>247</v>
      </c>
      <c r="AI22" s="42" t="s">
        <v>229</v>
      </c>
    </row>
    <row r="23" spans="1:35">
      <c r="A23" s="13">
        <f t="shared" si="1"/>
        <v>20</v>
      </c>
      <c r="B23" s="14" t="s">
        <v>49</v>
      </c>
      <c r="C23" s="15" t="s">
        <v>248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2">
        <v>0</v>
      </c>
      <c r="AC23" s="12"/>
      <c r="AD23" s="12"/>
      <c r="AE23" s="12"/>
      <c r="AF23" s="12"/>
      <c r="AG23" s="12" t="str">
        <f t="shared" si="2"/>
        <v/>
      </c>
      <c r="AH23" s="37" t="s">
        <v>248</v>
      </c>
      <c r="AI23" s="42" t="s">
        <v>229</v>
      </c>
    </row>
    <row r="24" spans="1:35">
      <c r="A24" s="13">
        <f t="shared" si="1"/>
        <v>21</v>
      </c>
      <c r="B24" s="15" t="s">
        <v>50</v>
      </c>
      <c r="C24" s="15" t="s">
        <v>249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6">
        <v>1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6">
        <v>1</v>
      </c>
      <c r="X24" s="15">
        <v>0</v>
      </c>
      <c r="Y24" s="15">
        <v>0</v>
      </c>
      <c r="Z24" s="15">
        <v>0</v>
      </c>
      <c r="AA24" s="15">
        <v>0</v>
      </c>
      <c r="AB24" s="12">
        <v>0</v>
      </c>
      <c r="AC24" s="12"/>
      <c r="AD24" s="12"/>
      <c r="AE24" s="12"/>
      <c r="AF24" s="12"/>
      <c r="AG24" s="12" t="str">
        <f t="shared" si="2"/>
        <v xml:space="preserve">2004, 2015, </v>
      </c>
      <c r="AH24" s="37" t="s">
        <v>249</v>
      </c>
      <c r="AI24" s="42" t="s">
        <v>229</v>
      </c>
    </row>
    <row r="25" spans="1:35">
      <c r="A25" s="13">
        <f t="shared" si="1"/>
        <v>22</v>
      </c>
      <c r="B25" s="14" t="s">
        <v>51</v>
      </c>
      <c r="C25" s="15" t="s">
        <v>250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6">
        <v>1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2">
        <v>0</v>
      </c>
      <c r="AC25" s="12"/>
      <c r="AD25" s="12"/>
      <c r="AE25" s="12"/>
      <c r="AF25" s="12"/>
      <c r="AG25" s="12" t="str">
        <f t="shared" si="2"/>
        <v xml:space="preserve">2013, </v>
      </c>
      <c r="AH25" s="37" t="s">
        <v>250</v>
      </c>
      <c r="AI25" s="42" t="s">
        <v>229</v>
      </c>
    </row>
    <row r="26" spans="1:35">
      <c r="A26" s="13">
        <f t="shared" si="1"/>
        <v>23</v>
      </c>
      <c r="B26" s="14" t="s">
        <v>52</v>
      </c>
      <c r="C26" s="15" t="s">
        <v>251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28">
        <v>0</v>
      </c>
      <c r="AB26" s="12">
        <v>0</v>
      </c>
      <c r="AC26" s="12"/>
      <c r="AD26" s="12"/>
      <c r="AE26" s="12"/>
      <c r="AF26" s="12"/>
      <c r="AG26" s="12" t="str">
        <f t="shared" si="2"/>
        <v/>
      </c>
      <c r="AH26" s="37" t="s">
        <v>251</v>
      </c>
      <c r="AI26" s="42" t="s">
        <v>229</v>
      </c>
    </row>
    <row r="27" spans="1:35">
      <c r="A27" s="13">
        <f t="shared" si="1"/>
        <v>24</v>
      </c>
      <c r="B27" s="14" t="s">
        <v>53</v>
      </c>
      <c r="C27" s="15" t="s">
        <v>252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2">
        <v>0</v>
      </c>
      <c r="AC27" s="12"/>
      <c r="AD27" s="12"/>
      <c r="AE27" s="12"/>
      <c r="AF27" s="12"/>
      <c r="AG27" s="12" t="str">
        <f t="shared" si="2"/>
        <v/>
      </c>
      <c r="AH27" s="37" t="s">
        <v>252</v>
      </c>
      <c r="AI27" s="42" t="s">
        <v>229</v>
      </c>
    </row>
    <row r="28" spans="1:35">
      <c r="A28" s="13">
        <f t="shared" si="1"/>
        <v>25</v>
      </c>
      <c r="B28" s="14" t="s">
        <v>54</v>
      </c>
      <c r="C28" s="15" t="s">
        <v>253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2">
        <v>0</v>
      </c>
      <c r="AC28" s="12"/>
      <c r="AD28" s="12"/>
      <c r="AE28" s="12"/>
      <c r="AF28" s="12"/>
      <c r="AG28" s="12" t="str">
        <f t="shared" si="2"/>
        <v/>
      </c>
      <c r="AH28" s="37" t="s">
        <v>253</v>
      </c>
      <c r="AI28" s="42" t="s">
        <v>229</v>
      </c>
    </row>
    <row r="29" spans="1:35">
      <c r="A29" s="13">
        <f t="shared" si="1"/>
        <v>26</v>
      </c>
      <c r="B29" s="15" t="s">
        <v>55</v>
      </c>
      <c r="C29" s="15" t="s">
        <v>254</v>
      </c>
      <c r="D29" s="15">
        <v>0</v>
      </c>
      <c r="E29" s="16">
        <v>1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6">
        <v>1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2">
        <v>0</v>
      </c>
      <c r="AC29" s="12">
        <v>1</v>
      </c>
      <c r="AD29" s="12"/>
      <c r="AE29" s="12"/>
      <c r="AF29" s="12"/>
      <c r="AG29" s="12" t="str">
        <f t="shared" si="2"/>
        <v xml:space="preserve">1997, 2007, 2021, </v>
      </c>
      <c r="AH29" s="37" t="s">
        <v>254</v>
      </c>
      <c r="AI29" s="42" t="s">
        <v>229</v>
      </c>
    </row>
    <row r="30" spans="1:35">
      <c r="A30" s="13">
        <f t="shared" si="1"/>
        <v>27</v>
      </c>
      <c r="B30" s="13" t="s">
        <v>56</v>
      </c>
      <c r="C30" s="15" t="s">
        <v>255</v>
      </c>
      <c r="D30" s="15">
        <v>0</v>
      </c>
      <c r="E30" s="16">
        <v>1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6">
        <v>1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6">
        <v>1</v>
      </c>
      <c r="Y30" s="15">
        <v>0</v>
      </c>
      <c r="Z30" s="15">
        <v>0</v>
      </c>
      <c r="AA30" s="15">
        <v>0</v>
      </c>
      <c r="AB30" s="12">
        <v>0</v>
      </c>
      <c r="AC30" s="12"/>
      <c r="AD30" s="12"/>
      <c r="AE30" s="12"/>
      <c r="AF30" s="12"/>
      <c r="AG30" s="12" t="str">
        <f t="shared" si="2"/>
        <v xml:space="preserve">1997, 2007, 2016, </v>
      </c>
      <c r="AH30" s="37" t="s">
        <v>255</v>
      </c>
      <c r="AI30" s="42" t="s">
        <v>229</v>
      </c>
    </row>
    <row r="31" spans="1:35">
      <c r="A31" s="13">
        <f t="shared" si="1"/>
        <v>28</v>
      </c>
      <c r="B31" s="15" t="s">
        <v>57</v>
      </c>
      <c r="C31" s="15" t="s">
        <v>256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6">
        <v>1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6">
        <v>1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2">
        <v>0</v>
      </c>
      <c r="AC31" s="12"/>
      <c r="AD31" s="12"/>
      <c r="AE31" s="12"/>
      <c r="AF31" s="12"/>
      <c r="AG31" s="12" t="str">
        <f t="shared" si="2"/>
        <v xml:space="preserve">2001, 2014, </v>
      </c>
      <c r="AH31" s="37" t="s">
        <v>256</v>
      </c>
      <c r="AI31" s="42" t="s">
        <v>229</v>
      </c>
    </row>
    <row r="32" spans="1:35">
      <c r="A32" s="13">
        <f t="shared" si="1"/>
        <v>29</v>
      </c>
      <c r="B32" s="15" t="s">
        <v>58</v>
      </c>
      <c r="C32" s="15" t="s">
        <v>257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6">
        <v>1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28">
        <v>0</v>
      </c>
      <c r="AB32" s="12">
        <v>0</v>
      </c>
      <c r="AC32" s="12"/>
      <c r="AD32" s="12"/>
      <c r="AE32" s="12"/>
      <c r="AF32" s="12"/>
      <c r="AG32" s="12" t="str">
        <f t="shared" si="2"/>
        <v xml:space="preserve">2004, </v>
      </c>
      <c r="AH32" s="37" t="s">
        <v>257</v>
      </c>
      <c r="AI32" s="42" t="s">
        <v>229</v>
      </c>
    </row>
    <row r="33" spans="1:36">
      <c r="A33" s="13">
        <f t="shared" si="1"/>
        <v>30</v>
      </c>
      <c r="B33" s="14" t="s">
        <v>59</v>
      </c>
      <c r="C33" s="15" t="s">
        <v>258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2">
        <v>0</v>
      </c>
      <c r="AC33" s="12"/>
      <c r="AD33" s="12"/>
      <c r="AE33" s="12"/>
      <c r="AF33" s="12"/>
      <c r="AG33" s="12" t="str">
        <f t="shared" si="2"/>
        <v/>
      </c>
      <c r="AH33" s="37" t="s">
        <v>258</v>
      </c>
      <c r="AI33" s="42" t="s">
        <v>229</v>
      </c>
    </row>
    <row r="34" spans="1:36">
      <c r="A34" s="13">
        <f t="shared" si="1"/>
        <v>31</v>
      </c>
      <c r="B34" s="14" t="s">
        <v>60</v>
      </c>
      <c r="C34" s="15" t="s">
        <v>259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6">
        <v>1</v>
      </c>
      <c r="X34" s="15">
        <v>0</v>
      </c>
      <c r="Y34" s="15">
        <v>0</v>
      </c>
      <c r="Z34" s="15">
        <v>0</v>
      </c>
      <c r="AA34" s="28">
        <v>0</v>
      </c>
      <c r="AB34" s="12">
        <v>0</v>
      </c>
      <c r="AC34" s="12"/>
      <c r="AD34" s="12"/>
      <c r="AE34" s="12"/>
      <c r="AF34" s="12"/>
      <c r="AG34" s="12" t="str">
        <f t="shared" si="2"/>
        <v xml:space="preserve">2015, </v>
      </c>
      <c r="AH34" s="37" t="s">
        <v>259</v>
      </c>
      <c r="AI34" s="42" t="s">
        <v>229</v>
      </c>
    </row>
    <row r="35" spans="1:36">
      <c r="A35" s="13">
        <f t="shared" si="1"/>
        <v>32</v>
      </c>
      <c r="B35" s="15" t="s">
        <v>61</v>
      </c>
      <c r="C35" s="15" t="s">
        <v>260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6">
        <v>1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2">
        <v>0</v>
      </c>
      <c r="AC35" s="12"/>
      <c r="AD35" s="12"/>
      <c r="AE35" s="12"/>
      <c r="AF35" s="12"/>
      <c r="AG35" s="12" t="str">
        <f t="shared" si="2"/>
        <v xml:space="preserve">2014, </v>
      </c>
      <c r="AH35" s="37" t="s">
        <v>260</v>
      </c>
      <c r="AI35" s="42" t="s">
        <v>229</v>
      </c>
    </row>
    <row r="36" spans="1:36">
      <c r="A36" s="13">
        <f t="shared" si="1"/>
        <v>33</v>
      </c>
      <c r="B36" s="14" t="s">
        <v>62</v>
      </c>
      <c r="C36" s="15" t="s">
        <v>261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6">
        <v>1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6">
        <v>1</v>
      </c>
      <c r="X36" s="15">
        <v>0</v>
      </c>
      <c r="Y36" s="15">
        <v>0</v>
      </c>
      <c r="Z36" s="15">
        <v>0</v>
      </c>
      <c r="AA36" s="15">
        <v>0</v>
      </c>
      <c r="AB36" s="12">
        <v>0</v>
      </c>
      <c r="AC36" s="12"/>
      <c r="AD36" s="12"/>
      <c r="AE36" s="12"/>
      <c r="AF36" s="12"/>
      <c r="AG36" s="12" t="str">
        <f t="shared" si="2"/>
        <v xml:space="preserve">2001, 2015, </v>
      </c>
      <c r="AH36" s="37" t="s">
        <v>261</v>
      </c>
      <c r="AI36" s="42" t="s">
        <v>229</v>
      </c>
    </row>
    <row r="37" spans="1:36">
      <c r="A37" s="13">
        <f t="shared" si="1"/>
        <v>34</v>
      </c>
      <c r="B37" s="14" t="s">
        <v>63</v>
      </c>
      <c r="C37" s="15" t="s">
        <v>262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6">
        <v>1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6">
        <v>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2">
        <v>1</v>
      </c>
      <c r="AC37" s="12"/>
      <c r="AD37" s="12"/>
      <c r="AE37" s="12"/>
      <c r="AF37" s="12"/>
      <c r="AG37" s="12" t="str">
        <f t="shared" si="2"/>
        <v xml:space="preserve">2003, 2010, 2020, </v>
      </c>
      <c r="AH37" s="37" t="s">
        <v>262</v>
      </c>
      <c r="AI37" s="42" t="s">
        <v>229</v>
      </c>
    </row>
    <row r="38" spans="1:36">
      <c r="A38" s="13">
        <f t="shared" si="1"/>
        <v>35</v>
      </c>
      <c r="B38" s="19" t="s">
        <v>64</v>
      </c>
      <c r="C38" s="15" t="s">
        <v>263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2">
        <v>0</v>
      </c>
      <c r="AC38" s="12"/>
      <c r="AD38" s="12"/>
      <c r="AE38" s="12"/>
      <c r="AF38" s="12"/>
      <c r="AG38" s="12" t="str">
        <f t="shared" si="2"/>
        <v/>
      </c>
      <c r="AH38" s="37" t="s">
        <v>263</v>
      </c>
      <c r="AI38" s="42" t="s">
        <v>229</v>
      </c>
    </row>
    <row r="39" spans="1:36">
      <c r="A39" s="13">
        <f t="shared" si="1"/>
        <v>36</v>
      </c>
      <c r="B39" s="14" t="s">
        <v>65</v>
      </c>
      <c r="C39" s="15" t="s">
        <v>264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2">
        <v>0</v>
      </c>
      <c r="AC39" s="12"/>
      <c r="AD39" s="12"/>
      <c r="AE39" s="12"/>
      <c r="AF39" s="12"/>
      <c r="AG39" s="12" t="str">
        <f t="shared" si="2"/>
        <v/>
      </c>
      <c r="AH39" s="37" t="s">
        <v>264</v>
      </c>
      <c r="AI39" s="42" t="s">
        <v>229</v>
      </c>
    </row>
    <row r="40" spans="1:36">
      <c r="A40" s="13">
        <f t="shared" si="1"/>
        <v>37</v>
      </c>
      <c r="B40" s="14" t="s">
        <v>66</v>
      </c>
      <c r="C40" s="15" t="s">
        <v>265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1</v>
      </c>
      <c r="X40" s="15">
        <v>0</v>
      </c>
      <c r="Y40" s="15">
        <v>0</v>
      </c>
      <c r="Z40" s="15">
        <v>0</v>
      </c>
      <c r="AA40" s="15">
        <v>0</v>
      </c>
      <c r="AB40" s="12">
        <v>0</v>
      </c>
      <c r="AC40" s="12"/>
      <c r="AD40" s="12"/>
      <c r="AE40" s="12"/>
      <c r="AF40" s="12"/>
      <c r="AG40" s="12" t="str">
        <f t="shared" si="2"/>
        <v xml:space="preserve">2015, </v>
      </c>
      <c r="AH40" s="37" t="s">
        <v>265</v>
      </c>
      <c r="AI40" s="42" t="s">
        <v>229</v>
      </c>
      <c r="AJ40" s="41" t="s">
        <v>266</v>
      </c>
    </row>
    <row r="41" spans="1:36">
      <c r="A41" s="13">
        <f t="shared" si="1"/>
        <v>38</v>
      </c>
      <c r="B41" s="19" t="s">
        <v>67</v>
      </c>
      <c r="C41" s="15" t="s">
        <v>267</v>
      </c>
      <c r="D41" s="15">
        <v>0</v>
      </c>
      <c r="E41" s="15">
        <v>0</v>
      </c>
      <c r="F41" s="15">
        <v>0</v>
      </c>
      <c r="G41" s="15">
        <v>0</v>
      </c>
      <c r="H41" s="16">
        <v>1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2">
        <v>0</v>
      </c>
      <c r="AC41" s="12"/>
      <c r="AD41" s="12"/>
      <c r="AE41" s="12"/>
      <c r="AF41" s="12"/>
      <c r="AG41" s="12" t="str">
        <f t="shared" si="2"/>
        <v xml:space="preserve">2000, </v>
      </c>
      <c r="AH41" s="37" t="s">
        <v>267</v>
      </c>
      <c r="AI41" s="42" t="s">
        <v>229</v>
      </c>
    </row>
    <row r="42" spans="1:36">
      <c r="A42" s="13">
        <f t="shared" si="1"/>
        <v>39</v>
      </c>
      <c r="B42" s="14" t="s">
        <v>68</v>
      </c>
      <c r="C42" s="15" t="s">
        <v>268</v>
      </c>
      <c r="D42" s="15">
        <v>0</v>
      </c>
      <c r="E42" s="15">
        <v>0</v>
      </c>
      <c r="F42" s="15">
        <v>0</v>
      </c>
      <c r="G42" s="15">
        <v>0</v>
      </c>
      <c r="H42" s="16">
        <v>1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6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2">
        <v>0</v>
      </c>
      <c r="AC42" s="12"/>
      <c r="AD42" s="12"/>
      <c r="AE42" s="12"/>
      <c r="AF42" s="12"/>
      <c r="AG42" s="12" t="str">
        <f t="shared" si="2"/>
        <v xml:space="preserve">2000, 2010, </v>
      </c>
      <c r="AH42" s="37" t="s">
        <v>268</v>
      </c>
      <c r="AI42" s="42" t="s">
        <v>229</v>
      </c>
    </row>
    <row r="43" spans="1:36">
      <c r="A43" s="13">
        <f t="shared" si="1"/>
        <v>40</v>
      </c>
      <c r="B43" s="14" t="s">
        <v>69</v>
      </c>
      <c r="C43" s="15" t="s">
        <v>269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6">
        <v>1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2">
        <v>0</v>
      </c>
      <c r="AC43" s="12"/>
      <c r="AD43" s="12"/>
      <c r="AE43" s="12"/>
      <c r="AF43" s="12"/>
      <c r="AG43" s="12" t="str">
        <f t="shared" si="2"/>
        <v xml:space="preserve">2008, </v>
      </c>
      <c r="AH43" s="37" t="s">
        <v>269</v>
      </c>
      <c r="AI43" s="42" t="s">
        <v>229</v>
      </c>
    </row>
    <row r="44" spans="1:36">
      <c r="A44" s="13">
        <f t="shared" si="1"/>
        <v>41</v>
      </c>
      <c r="B44" s="14" t="s">
        <v>70</v>
      </c>
      <c r="C44" s="15" t="s">
        <v>270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6">
        <v>1</v>
      </c>
      <c r="X44" s="15">
        <v>0</v>
      </c>
      <c r="Y44" s="15">
        <v>0</v>
      </c>
      <c r="Z44" s="15">
        <v>0</v>
      </c>
      <c r="AA44" s="15">
        <v>0</v>
      </c>
      <c r="AB44" s="12">
        <v>0</v>
      </c>
      <c r="AC44" s="12"/>
      <c r="AD44" s="12"/>
      <c r="AE44" s="12"/>
      <c r="AF44" s="12"/>
      <c r="AG44" s="12" t="str">
        <f t="shared" si="2"/>
        <v xml:space="preserve">2015, </v>
      </c>
      <c r="AH44" s="37" t="s">
        <v>270</v>
      </c>
      <c r="AI44" s="42" t="s">
        <v>229</v>
      </c>
    </row>
    <row r="45" spans="1:36">
      <c r="A45" s="13">
        <f t="shared" si="1"/>
        <v>42</v>
      </c>
      <c r="B45" s="14" t="s">
        <v>71</v>
      </c>
      <c r="C45" s="15" t="s">
        <v>271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2">
        <v>0</v>
      </c>
      <c r="AC45" s="12"/>
      <c r="AD45" s="12"/>
      <c r="AE45" s="12"/>
      <c r="AF45" s="12"/>
      <c r="AG45" s="12" t="str">
        <f t="shared" si="2"/>
        <v/>
      </c>
      <c r="AH45" s="37" t="s">
        <v>271</v>
      </c>
      <c r="AI45" s="42" t="s">
        <v>229</v>
      </c>
    </row>
    <row r="46" spans="1:36">
      <c r="A46" s="13">
        <f t="shared" si="1"/>
        <v>43</v>
      </c>
      <c r="B46" s="14" t="s">
        <v>72</v>
      </c>
      <c r="C46" s="15" t="s">
        <v>272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6">
        <v>1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6">
        <v>1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2">
        <v>0</v>
      </c>
      <c r="AC46" s="12"/>
      <c r="AD46" s="12"/>
      <c r="AE46" s="12"/>
      <c r="AF46" s="12"/>
      <c r="AG46" s="12" t="str">
        <f t="shared" si="2"/>
        <v xml:space="preserve">2003, 2013, </v>
      </c>
      <c r="AH46" s="37" t="s">
        <v>272</v>
      </c>
      <c r="AI46" s="42" t="s">
        <v>229</v>
      </c>
    </row>
    <row r="47" spans="1:36">
      <c r="A47" s="13">
        <f t="shared" si="1"/>
        <v>44</v>
      </c>
      <c r="B47" s="15" t="s">
        <v>73</v>
      </c>
      <c r="C47" s="15" t="s">
        <v>273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6">
        <v>1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28">
        <v>0</v>
      </c>
      <c r="AB47" s="12">
        <v>0</v>
      </c>
      <c r="AC47" s="12"/>
      <c r="AD47" s="12"/>
      <c r="AE47" s="12"/>
      <c r="AF47" s="12"/>
      <c r="AG47" s="12" t="str">
        <f t="shared" si="2"/>
        <v xml:space="preserve">2002, </v>
      </c>
      <c r="AH47" s="37" t="s">
        <v>273</v>
      </c>
      <c r="AI47" s="42" t="s">
        <v>229</v>
      </c>
    </row>
    <row r="48" spans="1:36">
      <c r="A48" s="13">
        <f t="shared" si="1"/>
        <v>45</v>
      </c>
      <c r="B48" s="14" t="s">
        <v>74</v>
      </c>
      <c r="C48" s="15" t="s">
        <v>274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6">
        <v>1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28">
        <v>0</v>
      </c>
      <c r="AB48" s="12">
        <v>1</v>
      </c>
      <c r="AC48" s="12"/>
      <c r="AD48" s="12"/>
      <c r="AE48" s="12"/>
      <c r="AF48" s="12"/>
      <c r="AG48" s="12" t="str">
        <f t="shared" si="2"/>
        <v xml:space="preserve">2009, 2020, </v>
      </c>
      <c r="AH48" s="37" t="s">
        <v>274</v>
      </c>
      <c r="AI48" s="42" t="s">
        <v>229</v>
      </c>
    </row>
    <row r="49" spans="1:35">
      <c r="A49" s="13">
        <f t="shared" si="1"/>
        <v>46</v>
      </c>
      <c r="B49" s="14" t="s">
        <v>75</v>
      </c>
      <c r="C49" s="15" t="s">
        <v>275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28">
        <v>0</v>
      </c>
      <c r="AB49" s="12">
        <v>1</v>
      </c>
      <c r="AC49" s="12"/>
      <c r="AD49" s="12"/>
      <c r="AE49" s="12"/>
      <c r="AF49" s="12"/>
      <c r="AG49" s="12" t="str">
        <f t="shared" si="2"/>
        <v xml:space="preserve">2020, </v>
      </c>
      <c r="AH49" s="37" t="s">
        <v>275</v>
      </c>
      <c r="AI49" s="42" t="s">
        <v>229</v>
      </c>
    </row>
    <row r="50" spans="1:35">
      <c r="A50" s="13">
        <f t="shared" si="1"/>
        <v>47</v>
      </c>
      <c r="B50" s="14" t="s">
        <v>76</v>
      </c>
      <c r="C50" s="15" t="s">
        <v>276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6">
        <v>1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6">
        <v>1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2">
        <v>0</v>
      </c>
      <c r="AC50" s="12"/>
      <c r="AD50" s="12"/>
      <c r="AE50" s="12"/>
      <c r="AF50" s="12"/>
      <c r="AG50" s="12" t="str">
        <f t="shared" si="2"/>
        <v xml:space="preserve">2002, 2012, </v>
      </c>
      <c r="AH50" s="37" t="s">
        <v>276</v>
      </c>
      <c r="AI50" s="42" t="s">
        <v>229</v>
      </c>
    </row>
    <row r="51" spans="1:35">
      <c r="A51" s="13">
        <f t="shared" si="1"/>
        <v>48</v>
      </c>
      <c r="B51" s="14" t="s">
        <v>77</v>
      </c>
      <c r="C51" s="15" t="s">
        <v>277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6">
        <v>1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6">
        <v>1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2">
        <v>0</v>
      </c>
      <c r="AC51" s="12"/>
      <c r="AD51" s="12"/>
      <c r="AE51" s="12"/>
      <c r="AF51" s="12"/>
      <c r="AG51" s="12" t="str">
        <f t="shared" si="2"/>
        <v xml:space="preserve">2004, 2014, </v>
      </c>
      <c r="AH51" s="37" t="s">
        <v>277</v>
      </c>
      <c r="AI51" s="42" t="s">
        <v>229</v>
      </c>
    </row>
    <row r="52" spans="1:35">
      <c r="A52" s="13">
        <f t="shared" si="1"/>
        <v>49</v>
      </c>
      <c r="B52" s="14" t="s">
        <v>78</v>
      </c>
      <c r="C52" s="15" t="s">
        <v>278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6">
        <v>1</v>
      </c>
      <c r="AA52" s="15">
        <v>0</v>
      </c>
      <c r="AB52" s="12">
        <v>0</v>
      </c>
      <c r="AC52" s="12"/>
      <c r="AD52" s="12"/>
      <c r="AE52" s="12"/>
      <c r="AF52" s="12"/>
      <c r="AG52" s="12" t="str">
        <f t="shared" si="2"/>
        <v xml:space="preserve">2018, </v>
      </c>
      <c r="AH52" s="37" t="s">
        <v>278</v>
      </c>
      <c r="AI52" s="42" t="s">
        <v>229</v>
      </c>
    </row>
    <row r="53" spans="1:35">
      <c r="A53" s="13">
        <f t="shared" si="1"/>
        <v>50</v>
      </c>
      <c r="B53" s="19" t="s">
        <v>79</v>
      </c>
      <c r="C53" s="15" t="s">
        <v>279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6">
        <v>1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2">
        <v>0</v>
      </c>
      <c r="AC53" s="12"/>
      <c r="AD53" s="12"/>
      <c r="AE53" s="12"/>
      <c r="AF53" s="12"/>
      <c r="AG53" s="12" t="str">
        <f t="shared" si="2"/>
        <v xml:space="preserve">2012, </v>
      </c>
      <c r="AH53" s="37" t="s">
        <v>279</v>
      </c>
      <c r="AI53" s="42" t="s">
        <v>229</v>
      </c>
    </row>
    <row r="54" spans="1:35">
      <c r="A54" s="13">
        <f t="shared" si="1"/>
        <v>51</v>
      </c>
      <c r="B54" s="14" t="s">
        <v>80</v>
      </c>
      <c r="C54" s="15" t="s">
        <v>280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6">
        <v>1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2">
        <v>0</v>
      </c>
      <c r="AC54" s="12"/>
      <c r="AD54" s="12"/>
      <c r="AE54" s="12"/>
      <c r="AF54" s="12"/>
      <c r="AG54" s="12" t="str">
        <f t="shared" si="2"/>
        <v xml:space="preserve">2003, </v>
      </c>
      <c r="AH54" s="37" t="s">
        <v>280</v>
      </c>
      <c r="AI54" s="42" t="s">
        <v>229</v>
      </c>
    </row>
    <row r="55" spans="1:35">
      <c r="A55" s="13">
        <f t="shared" si="1"/>
        <v>52</v>
      </c>
      <c r="B55" s="14" t="s">
        <v>81</v>
      </c>
      <c r="C55" s="15" t="s">
        <v>281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6">
        <v>1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28">
        <v>0</v>
      </c>
      <c r="AB55" s="12">
        <v>0</v>
      </c>
      <c r="AC55" s="12"/>
      <c r="AD55" s="12"/>
      <c r="AE55" s="12"/>
      <c r="AF55" s="12"/>
      <c r="AG55" s="12" t="str">
        <f t="shared" si="2"/>
        <v xml:space="preserve">2001, </v>
      </c>
      <c r="AH55" s="37" t="s">
        <v>281</v>
      </c>
      <c r="AI55" s="42" t="s">
        <v>229</v>
      </c>
    </row>
    <row r="56" spans="1:35">
      <c r="A56" s="13">
        <f t="shared" si="1"/>
        <v>53</v>
      </c>
      <c r="B56" s="14" t="s">
        <v>82</v>
      </c>
      <c r="C56" s="15" t="s">
        <v>282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28">
        <v>0</v>
      </c>
      <c r="AB56" s="12">
        <v>0</v>
      </c>
      <c r="AC56" s="12"/>
      <c r="AD56" s="12"/>
      <c r="AE56" s="12"/>
      <c r="AF56" s="12"/>
      <c r="AG56" s="12" t="str">
        <f t="shared" si="2"/>
        <v/>
      </c>
      <c r="AH56" s="37" t="s">
        <v>282</v>
      </c>
      <c r="AI56" s="42" t="s">
        <v>229</v>
      </c>
    </row>
    <row r="57" spans="1:35">
      <c r="A57" s="13">
        <f t="shared" si="1"/>
        <v>54</v>
      </c>
      <c r="B57" s="14" t="s">
        <v>83</v>
      </c>
      <c r="C57" s="15" t="s">
        <v>283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2">
        <v>0</v>
      </c>
      <c r="AC57" s="12"/>
      <c r="AD57" s="12"/>
      <c r="AE57" s="12"/>
      <c r="AF57" s="12"/>
      <c r="AG57" s="12" t="str">
        <f t="shared" si="2"/>
        <v/>
      </c>
      <c r="AH57" s="37" t="s">
        <v>283</v>
      </c>
      <c r="AI57" s="42" t="s">
        <v>229</v>
      </c>
    </row>
    <row r="58" spans="1:35">
      <c r="A58" s="13">
        <f t="shared" si="1"/>
        <v>55</v>
      </c>
      <c r="B58" s="14" t="s">
        <v>84</v>
      </c>
      <c r="C58" s="15" t="s">
        <v>284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6">
        <v>1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2">
        <v>0</v>
      </c>
      <c r="AC58" s="12"/>
      <c r="AD58" s="12"/>
      <c r="AE58" s="12"/>
      <c r="AF58" s="12"/>
      <c r="AG58" s="12" t="str">
        <f t="shared" si="2"/>
        <v xml:space="preserve">2009, </v>
      </c>
      <c r="AH58" s="37" t="s">
        <v>284</v>
      </c>
      <c r="AI58" s="42" t="s">
        <v>229</v>
      </c>
    </row>
    <row r="59" spans="1:35">
      <c r="A59" s="13">
        <f t="shared" si="1"/>
        <v>56</v>
      </c>
      <c r="B59" s="14" t="s">
        <v>85</v>
      </c>
      <c r="C59" s="15" t="s">
        <v>285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2">
        <v>0</v>
      </c>
      <c r="AC59" s="12"/>
      <c r="AD59" s="12"/>
      <c r="AE59" s="12"/>
      <c r="AF59" s="12"/>
      <c r="AG59" s="12" t="str">
        <f t="shared" si="2"/>
        <v/>
      </c>
      <c r="AH59" s="37" t="s">
        <v>285</v>
      </c>
      <c r="AI59" s="42" t="s">
        <v>229</v>
      </c>
    </row>
    <row r="60" spans="1:35">
      <c r="A60" s="13">
        <f t="shared" si="1"/>
        <v>57</v>
      </c>
      <c r="B60" s="15" t="s">
        <v>86</v>
      </c>
      <c r="C60" s="15" t="s">
        <v>286</v>
      </c>
      <c r="D60" s="16">
        <v>1</v>
      </c>
      <c r="E60" s="15">
        <v>0</v>
      </c>
      <c r="F60" s="15">
        <v>0</v>
      </c>
      <c r="G60" s="15">
        <v>0</v>
      </c>
      <c r="H60" s="15">
        <v>0</v>
      </c>
      <c r="I60" s="16">
        <v>1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6">
        <v>1</v>
      </c>
      <c r="T60" s="15">
        <v>0</v>
      </c>
      <c r="U60" s="15">
        <v>0</v>
      </c>
      <c r="V60" s="15">
        <v>0</v>
      </c>
      <c r="W60" s="15">
        <v>0</v>
      </c>
      <c r="X60" s="16">
        <v>1</v>
      </c>
      <c r="Y60" s="15">
        <v>0</v>
      </c>
      <c r="Z60" s="15">
        <v>0</v>
      </c>
      <c r="AA60" s="15">
        <v>0</v>
      </c>
      <c r="AB60" s="12">
        <v>0</v>
      </c>
      <c r="AC60" s="12"/>
      <c r="AD60" s="12"/>
      <c r="AE60" s="12"/>
      <c r="AF60" s="12"/>
      <c r="AG60" s="12" t="str">
        <f t="shared" si="2"/>
        <v xml:space="preserve">1996, 2001, 2011, 2016, </v>
      </c>
      <c r="AH60" s="37" t="s">
        <v>286</v>
      </c>
      <c r="AI60" s="42" t="s">
        <v>229</v>
      </c>
    </row>
    <row r="61" spans="1:35">
      <c r="A61" s="13">
        <f t="shared" si="1"/>
        <v>58</v>
      </c>
      <c r="B61" s="14" t="s">
        <v>87</v>
      </c>
      <c r="C61" s="15" t="s">
        <v>287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6">
        <v>1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6">
        <v>1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2">
        <v>0</v>
      </c>
      <c r="AC61" s="12"/>
      <c r="AD61" s="12"/>
      <c r="AE61" s="12">
        <v>1</v>
      </c>
      <c r="AF61" s="12"/>
      <c r="AG61" s="12" t="str">
        <f t="shared" si="2"/>
        <v xml:space="preserve">2003, 2013, 2023, </v>
      </c>
      <c r="AH61" s="37" t="s">
        <v>287</v>
      </c>
      <c r="AI61" s="42" t="s">
        <v>229</v>
      </c>
    </row>
    <row r="62" spans="1:35">
      <c r="A62" s="13">
        <f t="shared" si="1"/>
        <v>59</v>
      </c>
      <c r="B62" s="15" t="s">
        <v>88</v>
      </c>
      <c r="C62" s="15" t="s">
        <v>288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6">
        <v>1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6">
        <v>1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2">
        <v>0</v>
      </c>
      <c r="AC62" s="12"/>
      <c r="AD62" s="12"/>
      <c r="AE62" s="12"/>
      <c r="AF62" s="12"/>
      <c r="AG62" s="12" t="str">
        <f t="shared" si="2"/>
        <v xml:space="preserve">2003, 2014, </v>
      </c>
      <c r="AH62" s="37" t="s">
        <v>288</v>
      </c>
      <c r="AI62" s="42" t="s">
        <v>229</v>
      </c>
    </row>
    <row r="63" spans="1:35">
      <c r="A63" s="13">
        <f t="shared" si="1"/>
        <v>60</v>
      </c>
      <c r="B63" s="14" t="s">
        <v>89</v>
      </c>
      <c r="C63" s="15" t="s">
        <v>289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2">
        <v>0</v>
      </c>
      <c r="AC63" s="12"/>
      <c r="AD63" s="12"/>
      <c r="AE63" s="12"/>
      <c r="AF63" s="12"/>
      <c r="AG63" s="12" t="str">
        <f t="shared" si="2"/>
        <v/>
      </c>
      <c r="AH63" s="37" t="s">
        <v>289</v>
      </c>
      <c r="AI63" s="42" t="s">
        <v>229</v>
      </c>
    </row>
    <row r="64" spans="1:35">
      <c r="A64" s="13">
        <f t="shared" si="1"/>
        <v>61</v>
      </c>
      <c r="B64" s="14" t="s">
        <v>90</v>
      </c>
      <c r="C64" s="15" t="s">
        <v>290</v>
      </c>
      <c r="D64" s="16">
        <v>1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6">
        <v>1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2">
        <v>0</v>
      </c>
      <c r="AC64" s="12"/>
      <c r="AD64" s="12"/>
      <c r="AE64" s="12"/>
      <c r="AF64" s="12"/>
      <c r="AG64" s="12" t="str">
        <f t="shared" si="2"/>
        <v xml:space="preserve">1996, 2007, </v>
      </c>
      <c r="AH64" s="37" t="s">
        <v>290</v>
      </c>
      <c r="AI64" s="42" t="s">
        <v>229</v>
      </c>
    </row>
    <row r="65" spans="1:35">
      <c r="A65" s="13">
        <f t="shared" si="1"/>
        <v>62</v>
      </c>
      <c r="B65" s="14" t="s">
        <v>91</v>
      </c>
      <c r="C65" s="15" t="s">
        <v>291</v>
      </c>
      <c r="D65" s="15">
        <v>0</v>
      </c>
      <c r="E65" s="16">
        <v>1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6">
        <v>1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6">
        <v>1</v>
      </c>
      <c r="Z65" s="15">
        <v>0</v>
      </c>
      <c r="AA65" s="15">
        <v>0</v>
      </c>
      <c r="AB65" s="12">
        <v>0</v>
      </c>
      <c r="AC65" s="12"/>
      <c r="AD65" s="12"/>
      <c r="AE65" s="12"/>
      <c r="AF65" s="12"/>
      <c r="AG65" s="12" t="str">
        <f t="shared" si="2"/>
        <v xml:space="preserve">1997, 2007, 2017, </v>
      </c>
      <c r="AH65" s="37" t="s">
        <v>291</v>
      </c>
      <c r="AI65" s="42" t="s">
        <v>229</v>
      </c>
    </row>
    <row r="66" spans="1:35">
      <c r="A66" s="13">
        <f t="shared" si="1"/>
        <v>63</v>
      </c>
      <c r="B66" s="14" t="s">
        <v>92</v>
      </c>
      <c r="C66" s="15" t="s">
        <v>292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6">
        <v>1</v>
      </c>
      <c r="O66" s="28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2">
        <v>0</v>
      </c>
      <c r="AC66" s="12"/>
      <c r="AD66" s="12"/>
      <c r="AE66" s="12"/>
      <c r="AF66" s="12"/>
      <c r="AG66" s="12" t="str">
        <f t="shared" si="2"/>
        <v xml:space="preserve">2006, </v>
      </c>
      <c r="AH66" s="37" t="s">
        <v>292</v>
      </c>
      <c r="AI66" s="42" t="s">
        <v>229</v>
      </c>
    </row>
    <row r="67" spans="1:35">
      <c r="A67" s="13">
        <f t="shared" si="1"/>
        <v>64</v>
      </c>
      <c r="B67" s="14" t="s">
        <v>93</v>
      </c>
      <c r="C67" s="15" t="s">
        <v>293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6">
        <v>1</v>
      </c>
      <c r="AB67" s="12">
        <v>0</v>
      </c>
      <c r="AC67" s="12"/>
      <c r="AD67" s="12"/>
      <c r="AE67" s="12"/>
      <c r="AF67" s="12"/>
      <c r="AG67" s="12" t="str">
        <f t="shared" si="2"/>
        <v xml:space="preserve">2019, </v>
      </c>
      <c r="AH67" s="37" t="s">
        <v>293</v>
      </c>
      <c r="AI67" s="42" t="s">
        <v>229</v>
      </c>
    </row>
    <row r="68" spans="1:35">
      <c r="A68" s="13">
        <f t="shared" si="1"/>
        <v>65</v>
      </c>
      <c r="B68" s="14" t="s">
        <v>94</v>
      </c>
      <c r="C68" s="15" t="s">
        <v>294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2">
        <v>1</v>
      </c>
      <c r="AC68" s="12"/>
      <c r="AD68" s="12"/>
      <c r="AE68" s="12"/>
      <c r="AF68" s="12"/>
      <c r="AG68" s="12" t="str">
        <f t="shared" ref="AG68:AG131" si="3">+IF($D68=1,RIGHT(D$3,4)&amp;", ","")&amp;IF($E68=1,RIGHT(E$3,4)&amp;", ","")&amp;IF($F68=1,RIGHT(F$3,4)&amp;", ","")&amp;IF($G68=1,RIGHT(G$3,4)&amp;", ","")&amp;IF($H68=1,RIGHT(H$3,4)&amp;", ","")&amp;IF($I68=1,RIGHT(I$3,4)&amp;", ","")&amp;IF($J68=1,RIGHT(J$3,4)&amp;", ","")&amp;IF($K68=1,RIGHT(K$3,4)&amp;", ","")&amp;IF($L68=1,RIGHT(L$3,4)&amp;", ","")&amp;IF($M68=1,RIGHT(M$3,4)&amp;", ","")&amp;IF($N68=1,RIGHT(N$3,4)&amp;", ","")&amp;IF($O68=1,RIGHT(O$3,4)&amp;", ","")&amp;IF($P68=1,RIGHT(P$3,4)&amp;", ","")&amp;IF($Q68=1,RIGHT(Q$3,4)&amp;", ","")&amp;IF($R68=1,RIGHT(R$3,4)&amp;", ","")&amp;IF($S68=1,RIGHT(S$3,4)&amp;", ","")&amp;IF($T68=1,RIGHT(T$3,4)&amp;", ","")&amp;IF($U68=1,RIGHT(U$3,4)&amp;", ","")&amp;IF($V68=1,RIGHT(V$3,4)&amp;", ","")&amp;IF($W68=1,RIGHT(W$3,4)&amp;", ","")&amp;IF($X68=1,RIGHT(X$3,4)&amp;", ","")&amp;IF($Y68=1,RIGHT(Y$3,4)&amp;", ","")&amp;IF($Z68=1, RIGHT(Z$3,4)&amp;", ", "")&amp;IF($AA68=1, RIGHT(AA$3,4)&amp;", ", "")&amp;IF($AB68=1, RIGHT(AB$3,4)&amp;", ", "")&amp;IF($AC68=1, RIGHT(AC$3,4)&amp;", ", "")&amp;IF($AD68=1, RIGHT(AD$3,4)&amp;", ", "")&amp;IF($AE68=1, RIGHT(AE$3,4)&amp;", ", "")&amp;IF($AF68=1, RIGHT(AF$3,4)&amp;", ", "")</f>
        <v xml:space="preserve">2020, </v>
      </c>
      <c r="AH68" s="37" t="s">
        <v>294</v>
      </c>
      <c r="AI68" s="42" t="s">
        <v>229</v>
      </c>
    </row>
    <row r="69" spans="1:35">
      <c r="A69" s="13">
        <f t="shared" ref="A69:A132" si="4">1+A68</f>
        <v>66</v>
      </c>
      <c r="B69" s="14" t="s">
        <v>95</v>
      </c>
      <c r="C69" s="15" t="s">
        <v>295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6">
        <v>1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2">
        <v>1</v>
      </c>
      <c r="AC69" s="12"/>
      <c r="AD69" s="12"/>
      <c r="AE69" s="12"/>
      <c r="AF69" s="12"/>
      <c r="AG69" s="12" t="str">
        <f t="shared" si="3"/>
        <v xml:space="preserve">2014, 2020, </v>
      </c>
      <c r="AH69" s="37" t="s">
        <v>295</v>
      </c>
      <c r="AI69" s="42" t="s">
        <v>229</v>
      </c>
    </row>
    <row r="70" spans="1:35">
      <c r="A70" s="13">
        <f t="shared" si="4"/>
        <v>67</v>
      </c>
      <c r="B70" s="14" t="s">
        <v>96</v>
      </c>
      <c r="C70" s="15" t="s">
        <v>296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6">
        <v>1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2">
        <v>0</v>
      </c>
      <c r="AC70" s="12"/>
      <c r="AD70" s="12"/>
      <c r="AE70" s="12"/>
      <c r="AF70" s="12"/>
      <c r="AG70" s="12" t="str">
        <f t="shared" si="3"/>
        <v xml:space="preserve">2002, </v>
      </c>
      <c r="AH70" s="37" t="s">
        <v>296</v>
      </c>
      <c r="AI70" s="42" t="s">
        <v>229</v>
      </c>
    </row>
    <row r="71" spans="1:35">
      <c r="A71" s="13">
        <f t="shared" si="4"/>
        <v>68</v>
      </c>
      <c r="B71" s="19" t="s">
        <v>97</v>
      </c>
      <c r="C71" s="15" t="s">
        <v>297</v>
      </c>
      <c r="D71" s="15">
        <v>0</v>
      </c>
      <c r="E71" s="15">
        <v>0</v>
      </c>
      <c r="F71" s="15">
        <v>0</v>
      </c>
      <c r="G71" s="16">
        <v>1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6">
        <v>1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/>
      <c r="AB71" s="12">
        <v>1</v>
      </c>
      <c r="AC71" s="12"/>
      <c r="AD71" s="12"/>
      <c r="AE71" s="12"/>
      <c r="AF71" s="12"/>
      <c r="AG71" s="12" t="str">
        <f t="shared" si="3"/>
        <v xml:space="preserve">1999, 2011, 2020, </v>
      </c>
      <c r="AH71" s="37" t="s">
        <v>297</v>
      </c>
      <c r="AI71" s="42" t="s">
        <v>229</v>
      </c>
    </row>
    <row r="72" spans="1:35">
      <c r="A72" s="13">
        <f t="shared" si="4"/>
        <v>69</v>
      </c>
      <c r="B72" s="15" t="s">
        <v>98</v>
      </c>
      <c r="C72" s="15" t="s">
        <v>298</v>
      </c>
      <c r="D72" s="15">
        <v>0</v>
      </c>
      <c r="E72" s="15">
        <v>0</v>
      </c>
      <c r="F72" s="15">
        <v>0</v>
      </c>
      <c r="G72" s="16">
        <v>1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6">
        <v>1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2">
        <v>0</v>
      </c>
      <c r="AC72" s="12"/>
      <c r="AD72" s="12"/>
      <c r="AE72" s="12" t="s">
        <v>299</v>
      </c>
      <c r="AF72" s="12"/>
      <c r="AG72" s="12" t="str">
        <f t="shared" si="3"/>
        <v xml:space="preserve">1999, 2010, </v>
      </c>
      <c r="AH72" s="37" t="s">
        <v>298</v>
      </c>
      <c r="AI72" s="42" t="s">
        <v>229</v>
      </c>
    </row>
    <row r="73" spans="1:35">
      <c r="A73" s="13">
        <f t="shared" si="4"/>
        <v>70</v>
      </c>
      <c r="B73" s="14" t="s">
        <v>99</v>
      </c>
      <c r="C73" s="15" t="s">
        <v>300</v>
      </c>
      <c r="D73" s="15">
        <v>0</v>
      </c>
      <c r="E73" s="15">
        <v>0</v>
      </c>
      <c r="F73" s="15">
        <v>0</v>
      </c>
      <c r="G73" s="16">
        <v>1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6">
        <v>1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28">
        <v>0</v>
      </c>
      <c r="AB73" s="12">
        <v>1</v>
      </c>
      <c r="AC73" s="12"/>
      <c r="AD73" s="12"/>
      <c r="AE73" s="12"/>
      <c r="AF73" s="12"/>
      <c r="AG73" s="12" t="str">
        <f t="shared" si="3"/>
        <v xml:space="preserve">1999, 2009, 2020, </v>
      </c>
      <c r="AH73" s="37" t="s">
        <v>300</v>
      </c>
      <c r="AI73" s="42" t="s">
        <v>229</v>
      </c>
    </row>
    <row r="74" spans="1:35">
      <c r="A74" s="13">
        <f t="shared" si="4"/>
        <v>71</v>
      </c>
      <c r="B74" s="14" t="s">
        <v>100</v>
      </c>
      <c r="C74" s="15" t="s">
        <v>301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2">
        <v>0</v>
      </c>
      <c r="AC74" s="12"/>
      <c r="AD74" s="12"/>
      <c r="AE74" s="12"/>
      <c r="AF74" s="12"/>
      <c r="AG74" s="12" t="str">
        <f t="shared" si="3"/>
        <v/>
      </c>
      <c r="AH74" s="37" t="s">
        <v>301</v>
      </c>
      <c r="AI74" s="42" t="s">
        <v>229</v>
      </c>
    </row>
    <row r="75" spans="1:35">
      <c r="A75" s="13">
        <f t="shared" si="4"/>
        <v>72</v>
      </c>
      <c r="B75" s="14" t="s">
        <v>101</v>
      </c>
      <c r="C75" s="15" t="s">
        <v>302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6">
        <v>1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2">
        <v>0</v>
      </c>
      <c r="AC75" s="12"/>
      <c r="AD75" s="12"/>
      <c r="AE75" s="12"/>
      <c r="AF75" s="12"/>
      <c r="AG75" s="12" t="str">
        <f t="shared" si="3"/>
        <v xml:space="preserve">2001, </v>
      </c>
      <c r="AH75" s="37" t="s">
        <v>302</v>
      </c>
      <c r="AI75" s="42" t="s">
        <v>229</v>
      </c>
    </row>
    <row r="76" spans="1:35">
      <c r="A76" s="13">
        <f t="shared" si="4"/>
        <v>73</v>
      </c>
      <c r="B76" s="15" t="s">
        <v>102</v>
      </c>
      <c r="C76" s="15" t="s">
        <v>303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6">
        <v>1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2">
        <v>1</v>
      </c>
      <c r="AC76" s="12"/>
      <c r="AD76" s="12"/>
      <c r="AE76" s="12"/>
      <c r="AF76" s="12"/>
      <c r="AG76" s="12" t="str">
        <f t="shared" si="3"/>
        <v xml:space="preserve">2007, 2020, </v>
      </c>
      <c r="AH76" s="37" t="s">
        <v>303</v>
      </c>
      <c r="AI76" s="42" t="s">
        <v>229</v>
      </c>
    </row>
    <row r="77" spans="1:35" s="3" customFormat="1">
      <c r="A77" s="20">
        <f t="shared" si="4"/>
        <v>74</v>
      </c>
      <c r="B77" s="21" t="s">
        <v>103</v>
      </c>
      <c r="C77" s="3" t="s">
        <v>304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2">
        <v>1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27">
        <v>0</v>
      </c>
      <c r="AC77" s="27"/>
      <c r="AD77" s="27"/>
      <c r="AE77" s="27"/>
      <c r="AF77" s="27"/>
      <c r="AG77" s="12" t="str">
        <f t="shared" si="3"/>
        <v xml:space="preserve">2004, </v>
      </c>
      <c r="AH77" s="37" t="s">
        <v>304</v>
      </c>
      <c r="AI77" s="42" t="s">
        <v>229</v>
      </c>
    </row>
    <row r="78" spans="1:35" s="3" customFormat="1">
      <c r="A78" s="20">
        <f t="shared" si="4"/>
        <v>75</v>
      </c>
      <c r="B78" s="22" t="s">
        <v>104</v>
      </c>
      <c r="C78" s="23" t="s">
        <v>305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2">
        <v>1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27">
        <v>0</v>
      </c>
      <c r="AC78" s="27"/>
      <c r="AD78" s="27"/>
      <c r="AE78" s="27"/>
      <c r="AF78" s="27"/>
      <c r="AG78" s="12" t="str">
        <f t="shared" si="3"/>
        <v xml:space="preserve">2006, </v>
      </c>
      <c r="AH78" s="37" t="s">
        <v>305</v>
      </c>
      <c r="AI78" s="42" t="s">
        <v>229</v>
      </c>
    </row>
    <row r="79" spans="1:35" s="3" customFormat="1">
      <c r="A79" s="20">
        <f t="shared" si="4"/>
        <v>76</v>
      </c>
      <c r="B79" s="21" t="s">
        <v>105</v>
      </c>
      <c r="C79" s="3" t="s">
        <v>306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2">
        <v>1</v>
      </c>
      <c r="N79" s="1">
        <v>0</v>
      </c>
      <c r="O79" s="1">
        <v>0</v>
      </c>
      <c r="P79" s="1">
        <v>0</v>
      </c>
      <c r="Q79" s="1">
        <v>0</v>
      </c>
      <c r="R79" s="26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26">
        <v>0</v>
      </c>
      <c r="Y79" s="1">
        <v>0</v>
      </c>
      <c r="Z79" s="1">
        <v>0</v>
      </c>
      <c r="AA79" s="1">
        <v>0</v>
      </c>
      <c r="AB79" s="27">
        <v>0</v>
      </c>
      <c r="AC79" s="27"/>
      <c r="AD79" s="27"/>
      <c r="AE79" s="27"/>
      <c r="AF79" s="27"/>
      <c r="AG79" s="12" t="str">
        <f t="shared" si="3"/>
        <v xml:space="preserve">2005, </v>
      </c>
      <c r="AH79" s="37" t="s">
        <v>306</v>
      </c>
      <c r="AI79" s="42" t="s">
        <v>229</v>
      </c>
    </row>
    <row r="80" spans="1:35" s="3" customFormat="1">
      <c r="A80" s="20">
        <f t="shared" si="4"/>
        <v>77</v>
      </c>
      <c r="B80" s="21" t="s">
        <v>106</v>
      </c>
      <c r="C80" s="35" t="s">
        <v>307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26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27">
        <v>0</v>
      </c>
      <c r="AC80" s="27"/>
      <c r="AD80" s="27"/>
      <c r="AE80" s="27"/>
      <c r="AF80" s="27"/>
      <c r="AG80" s="12" t="str">
        <f t="shared" si="3"/>
        <v/>
      </c>
      <c r="AH80" s="37" t="s">
        <v>307</v>
      </c>
      <c r="AI80" s="42" t="s">
        <v>229</v>
      </c>
    </row>
    <row r="81" spans="1:35" s="3" customFormat="1">
      <c r="A81" s="20">
        <f t="shared" si="4"/>
        <v>78</v>
      </c>
      <c r="B81" s="21" t="s">
        <v>107</v>
      </c>
      <c r="C81" s="3" t="s">
        <v>308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2">
        <v>1</v>
      </c>
      <c r="N81" s="1">
        <v>0</v>
      </c>
      <c r="O81" s="1">
        <v>0</v>
      </c>
      <c r="P81" s="1">
        <v>0</v>
      </c>
      <c r="Q81" s="26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27">
        <v>0</v>
      </c>
      <c r="AC81" s="27"/>
      <c r="AD81" s="27"/>
      <c r="AE81" s="27"/>
      <c r="AF81" s="27"/>
      <c r="AG81" s="12" t="str">
        <f t="shared" si="3"/>
        <v xml:space="preserve">2005, </v>
      </c>
      <c r="AH81" s="37" t="s">
        <v>308</v>
      </c>
      <c r="AI81" s="42" t="s">
        <v>229</v>
      </c>
    </row>
    <row r="82" spans="1:35" s="3" customFormat="1">
      <c r="A82" s="20">
        <f t="shared" si="4"/>
        <v>79</v>
      </c>
      <c r="B82" s="22" t="s">
        <v>108</v>
      </c>
      <c r="C82" s="23" t="s">
        <v>309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26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27">
        <v>0</v>
      </c>
      <c r="AC82" s="27">
        <v>1</v>
      </c>
      <c r="AD82" s="27"/>
      <c r="AE82" s="27"/>
      <c r="AF82" s="27"/>
      <c r="AG82" s="12" t="str">
        <f t="shared" si="3"/>
        <v xml:space="preserve">2021, </v>
      </c>
      <c r="AH82" s="37" t="s">
        <v>309</v>
      </c>
      <c r="AI82" s="42" t="s">
        <v>229</v>
      </c>
    </row>
    <row r="83" spans="1:35" s="3" customFormat="1">
      <c r="A83" s="20">
        <f t="shared" si="4"/>
        <v>80</v>
      </c>
      <c r="B83" s="23" t="s">
        <v>109</v>
      </c>
      <c r="C83" s="23" t="s">
        <v>310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27">
        <v>0</v>
      </c>
      <c r="AC83" s="27"/>
      <c r="AD83" s="27"/>
      <c r="AE83" s="27"/>
      <c r="AF83" s="27"/>
      <c r="AG83" s="12" t="str">
        <f t="shared" si="3"/>
        <v/>
      </c>
      <c r="AH83" s="37" t="s">
        <v>310</v>
      </c>
      <c r="AI83" s="42" t="s">
        <v>229</v>
      </c>
    </row>
    <row r="84" spans="1:35" s="3" customFormat="1">
      <c r="A84" s="20">
        <f t="shared" si="4"/>
        <v>81</v>
      </c>
      <c r="B84" s="21" t="s">
        <v>110</v>
      </c>
      <c r="C84" s="35" t="s">
        <v>311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26">
        <v>0</v>
      </c>
      <c r="T84" s="1">
        <v>0</v>
      </c>
      <c r="U84" s="1">
        <v>0</v>
      </c>
      <c r="V84" s="2">
        <v>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27">
        <v>0</v>
      </c>
      <c r="AC84" s="27"/>
      <c r="AD84" s="27"/>
      <c r="AE84" s="27"/>
      <c r="AF84" s="27"/>
      <c r="AG84" s="12" t="str">
        <f t="shared" si="3"/>
        <v xml:space="preserve">2014, </v>
      </c>
      <c r="AH84" s="37" t="s">
        <v>311</v>
      </c>
      <c r="AI84" s="42" t="s">
        <v>229</v>
      </c>
    </row>
    <row r="85" spans="1:35" s="3" customFormat="1">
      <c r="A85" s="20">
        <f t="shared" si="4"/>
        <v>82</v>
      </c>
      <c r="B85" s="21" t="s">
        <v>111</v>
      </c>
      <c r="C85" s="35" t="s">
        <v>312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2">
        <v>1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27">
        <v>0</v>
      </c>
      <c r="AC85" s="27"/>
      <c r="AD85" s="27">
        <v>1</v>
      </c>
      <c r="AE85" s="27"/>
      <c r="AF85" s="27"/>
      <c r="AG85" s="12" t="str">
        <f t="shared" si="3"/>
        <v xml:space="preserve">2007, 2022, </v>
      </c>
      <c r="AH85" s="37" t="s">
        <v>312</v>
      </c>
      <c r="AI85" s="42" t="s">
        <v>229</v>
      </c>
    </row>
    <row r="86" spans="1:35" s="3" customFormat="1">
      <c r="A86" s="20">
        <f t="shared" si="4"/>
        <v>83</v>
      </c>
      <c r="B86" s="21" t="s">
        <v>112</v>
      </c>
      <c r="C86" s="35" t="s">
        <v>313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26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2">
        <v>1</v>
      </c>
      <c r="Y86" s="1">
        <v>0</v>
      </c>
      <c r="Z86" s="1">
        <v>0</v>
      </c>
      <c r="AA86" s="1">
        <v>0</v>
      </c>
      <c r="AB86" s="27">
        <v>0</v>
      </c>
      <c r="AC86" s="27"/>
      <c r="AD86" s="27"/>
      <c r="AE86" s="27"/>
      <c r="AF86" s="27"/>
      <c r="AG86" s="12" t="str">
        <f t="shared" si="3"/>
        <v xml:space="preserve">2016, </v>
      </c>
      <c r="AH86" s="37" t="s">
        <v>313</v>
      </c>
      <c r="AI86" s="42" t="s">
        <v>229</v>
      </c>
    </row>
    <row r="87" spans="1:35" s="3" customFormat="1">
      <c r="A87" s="20">
        <f t="shared" si="4"/>
        <v>84</v>
      </c>
      <c r="B87" s="21" t="s">
        <v>113</v>
      </c>
      <c r="C87" s="35" t="s">
        <v>314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2">
        <v>1</v>
      </c>
      <c r="T87" s="1">
        <v>0</v>
      </c>
      <c r="U87" s="1">
        <v>0</v>
      </c>
      <c r="V87" s="26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27">
        <v>0</v>
      </c>
      <c r="AC87" s="27"/>
      <c r="AD87" s="27"/>
      <c r="AE87" s="27"/>
      <c r="AF87" s="27"/>
      <c r="AG87" s="12" t="str">
        <f t="shared" si="3"/>
        <v xml:space="preserve">2011, </v>
      </c>
      <c r="AH87" s="37" t="s">
        <v>314</v>
      </c>
      <c r="AI87" s="42" t="s">
        <v>229</v>
      </c>
    </row>
    <row r="88" spans="1:35" s="3" customFormat="1">
      <c r="A88" s="20">
        <f t="shared" si="4"/>
        <v>85</v>
      </c>
      <c r="B88" s="21" t="s">
        <v>114</v>
      </c>
      <c r="C88" s="3" t="s">
        <v>315</v>
      </c>
      <c r="D88" s="1">
        <v>0</v>
      </c>
      <c r="E88" s="1">
        <v>0</v>
      </c>
      <c r="F88" s="1">
        <v>0</v>
      </c>
      <c r="G88" s="1">
        <v>0</v>
      </c>
      <c r="H88" s="2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2">
        <v>1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27">
        <v>0</v>
      </c>
      <c r="AC88" s="27"/>
      <c r="AD88" s="27"/>
      <c r="AE88" s="27"/>
      <c r="AF88" s="27"/>
      <c r="AG88" s="12" t="str">
        <f t="shared" si="3"/>
        <v xml:space="preserve">2000, 2011, </v>
      </c>
      <c r="AH88" s="37" t="s">
        <v>315</v>
      </c>
      <c r="AI88" s="42" t="s">
        <v>229</v>
      </c>
    </row>
    <row r="89" spans="1:35" s="3" customFormat="1">
      <c r="A89" s="20">
        <f t="shared" si="4"/>
        <v>86</v>
      </c>
      <c r="B89" s="21" t="s">
        <v>115</v>
      </c>
      <c r="C89" s="35" t="s">
        <v>316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2">
        <v>1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27">
        <v>0</v>
      </c>
      <c r="AC89" s="27"/>
      <c r="AD89" s="27"/>
      <c r="AE89" s="27"/>
      <c r="AF89" s="27"/>
      <c r="AG89" s="12" t="str">
        <f t="shared" si="3"/>
        <v xml:space="preserve">2010, </v>
      </c>
      <c r="AH89" s="37" t="s">
        <v>316</v>
      </c>
      <c r="AI89" s="42" t="s">
        <v>229</v>
      </c>
    </row>
    <row r="90" spans="1:35" s="3" customFormat="1">
      <c r="A90" s="20">
        <f t="shared" si="4"/>
        <v>87</v>
      </c>
      <c r="B90" s="23" t="s">
        <v>116</v>
      </c>
      <c r="C90" s="3" t="s">
        <v>317</v>
      </c>
      <c r="D90" s="2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26">
        <v>0</v>
      </c>
      <c r="W90" s="1">
        <v>0</v>
      </c>
      <c r="X90" s="2">
        <v>1</v>
      </c>
      <c r="Y90" s="1">
        <v>0</v>
      </c>
      <c r="Z90" s="1">
        <v>0</v>
      </c>
      <c r="AA90" s="1">
        <v>0</v>
      </c>
      <c r="AB90" s="27">
        <v>0</v>
      </c>
      <c r="AC90" s="27"/>
      <c r="AD90" s="27"/>
      <c r="AE90" s="27"/>
      <c r="AF90" s="27"/>
      <c r="AG90" s="12" t="str">
        <f t="shared" si="3"/>
        <v xml:space="preserve">1996, 2016, </v>
      </c>
      <c r="AH90" s="37" t="s">
        <v>317</v>
      </c>
      <c r="AI90" s="42" t="s">
        <v>229</v>
      </c>
    </row>
    <row r="91" spans="1:35" s="3" customFormat="1">
      <c r="A91" s="20">
        <f t="shared" si="4"/>
        <v>88</v>
      </c>
      <c r="B91" s="21" t="s">
        <v>117</v>
      </c>
      <c r="C91" s="35" t="s">
        <v>318</v>
      </c>
      <c r="D91" s="1">
        <v>0</v>
      </c>
      <c r="E91" s="1">
        <v>0</v>
      </c>
      <c r="F91" s="1">
        <v>0</v>
      </c>
      <c r="G91" s="1">
        <v>0</v>
      </c>
      <c r="H91" s="2">
        <v>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26">
        <v>0</v>
      </c>
      <c r="P91" s="1">
        <v>0</v>
      </c>
      <c r="Q91" s="2">
        <v>1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27">
        <v>0</v>
      </c>
      <c r="AC91" s="27"/>
      <c r="AD91" s="27"/>
      <c r="AE91" s="27"/>
      <c r="AF91" s="27"/>
      <c r="AG91" s="12" t="str">
        <f t="shared" si="3"/>
        <v xml:space="preserve">2000, 2009, </v>
      </c>
      <c r="AH91" s="37" t="s">
        <v>318</v>
      </c>
      <c r="AI91" s="42" t="s">
        <v>229</v>
      </c>
    </row>
    <row r="92" spans="1:35" s="3" customFormat="1">
      <c r="A92" s="20">
        <f t="shared" si="4"/>
        <v>89</v>
      </c>
      <c r="B92" s="21" t="s">
        <v>118</v>
      </c>
      <c r="C92" s="35" t="s">
        <v>319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2">
        <v>1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2">
        <v>1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27">
        <v>0</v>
      </c>
      <c r="AC92" s="27"/>
      <c r="AD92" s="27"/>
      <c r="AE92" s="27"/>
      <c r="AF92" s="27"/>
      <c r="AG92" s="12" t="str">
        <f t="shared" si="3"/>
        <v xml:space="preserve">2003, 2010, </v>
      </c>
      <c r="AH92" s="37" t="s">
        <v>319</v>
      </c>
      <c r="AI92" s="42" t="s">
        <v>229</v>
      </c>
    </row>
    <row r="93" spans="1:35" s="3" customFormat="1">
      <c r="A93" s="20">
        <f t="shared" si="4"/>
        <v>90</v>
      </c>
      <c r="B93" s="21" t="s">
        <v>119</v>
      </c>
      <c r="C93" s="35" t="s">
        <v>320</v>
      </c>
      <c r="D93" s="1">
        <v>0</v>
      </c>
      <c r="E93" s="2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2">
        <v>1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27">
        <v>0</v>
      </c>
      <c r="AC93" s="27"/>
      <c r="AD93" s="27"/>
      <c r="AE93" s="27"/>
      <c r="AF93" s="27"/>
      <c r="AG93" s="12" t="str">
        <f t="shared" si="3"/>
        <v xml:space="preserve">1997, 2013, </v>
      </c>
      <c r="AH93" s="37" t="s">
        <v>320</v>
      </c>
      <c r="AI93" s="42" t="s">
        <v>229</v>
      </c>
    </row>
    <row r="94" spans="1:35" s="3" customFormat="1">
      <c r="A94" s="20">
        <f t="shared" si="4"/>
        <v>91</v>
      </c>
      <c r="B94" s="21" t="s">
        <v>120</v>
      </c>
      <c r="C94" s="35" t="s">
        <v>321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26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27">
        <v>0</v>
      </c>
      <c r="AC94" s="27">
        <v>1</v>
      </c>
      <c r="AD94" s="27"/>
      <c r="AE94" s="27"/>
      <c r="AF94" s="27"/>
      <c r="AG94" s="12" t="str">
        <f t="shared" si="3"/>
        <v xml:space="preserve">2021, </v>
      </c>
      <c r="AH94" s="37" t="s">
        <v>321</v>
      </c>
      <c r="AI94" s="42" t="s">
        <v>229</v>
      </c>
    </row>
    <row r="95" spans="1:35" s="3" customFormat="1">
      <c r="A95" s="20">
        <f t="shared" si="4"/>
        <v>92</v>
      </c>
      <c r="B95" s="21" t="s">
        <v>121</v>
      </c>
      <c r="C95" s="35" t="s">
        <v>322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2">
        <v>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2">
        <v>1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27">
        <v>0</v>
      </c>
      <c r="AC95" s="27">
        <v>1</v>
      </c>
      <c r="AD95" s="27"/>
      <c r="AE95" s="27"/>
      <c r="AF95" s="27"/>
      <c r="AG95" s="12" t="str">
        <f t="shared" si="3"/>
        <v xml:space="preserve">2002, 2011, 2021, </v>
      </c>
      <c r="AH95" s="37" t="s">
        <v>322</v>
      </c>
      <c r="AI95" s="42" t="s">
        <v>229</v>
      </c>
    </row>
    <row r="96" spans="1:35" s="3" customFormat="1">
      <c r="A96" s="20">
        <f t="shared" si="4"/>
        <v>93</v>
      </c>
      <c r="B96" s="21" t="s">
        <v>122</v>
      </c>
      <c r="C96" s="35" t="s">
        <v>323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2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2">
        <v>1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27">
        <v>0</v>
      </c>
      <c r="AC96" s="27"/>
      <c r="AD96" s="27"/>
      <c r="AE96" s="27"/>
      <c r="AF96" s="27"/>
      <c r="AG96" s="12" t="str">
        <f t="shared" si="3"/>
        <v xml:space="preserve">2001, 2011, </v>
      </c>
      <c r="AH96" s="37" t="s">
        <v>323</v>
      </c>
      <c r="AI96" s="42" t="s">
        <v>229</v>
      </c>
    </row>
    <row r="97" spans="1:35" s="3" customFormat="1">
      <c r="A97" s="20">
        <f t="shared" si="4"/>
        <v>94</v>
      </c>
      <c r="B97" s="21" t="s">
        <v>123</v>
      </c>
      <c r="C97" s="3" t="s">
        <v>324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2">
        <v>1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26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30">
        <v>0</v>
      </c>
      <c r="AB97" s="27">
        <v>0</v>
      </c>
      <c r="AC97" s="27"/>
      <c r="AD97" s="27"/>
      <c r="AE97" s="27"/>
      <c r="AF97" s="27"/>
      <c r="AG97" s="12" t="str">
        <f t="shared" si="3"/>
        <v xml:space="preserve">2004, </v>
      </c>
      <c r="AH97" s="37" t="s">
        <v>324</v>
      </c>
      <c r="AI97" s="42" t="s">
        <v>229</v>
      </c>
    </row>
    <row r="98" spans="1:35" s="3" customFormat="1">
      <c r="A98" s="20">
        <f t="shared" si="4"/>
        <v>95</v>
      </c>
      <c r="B98" s="21" t="s">
        <v>124</v>
      </c>
      <c r="C98" s="35" t="s">
        <v>325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24">
        <v>1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27">
        <v>0</v>
      </c>
      <c r="AC98" s="27"/>
      <c r="AD98" s="27"/>
      <c r="AE98" s="27"/>
      <c r="AF98" s="27"/>
      <c r="AG98" s="12" t="str">
        <f t="shared" si="3"/>
        <v xml:space="preserve">2006, </v>
      </c>
      <c r="AH98" s="37" t="s">
        <v>325</v>
      </c>
      <c r="AI98" s="42" t="s">
        <v>229</v>
      </c>
    </row>
    <row r="99" spans="1:35" s="3" customFormat="1">
      <c r="A99" s="20">
        <f t="shared" si="4"/>
        <v>96</v>
      </c>
      <c r="B99" s="21" t="s">
        <v>125</v>
      </c>
      <c r="C99" s="35" t="s">
        <v>326</v>
      </c>
      <c r="D99" s="1">
        <v>0</v>
      </c>
      <c r="E99" s="1">
        <v>0</v>
      </c>
      <c r="F99" s="1">
        <v>0</v>
      </c>
      <c r="G99" s="1">
        <v>0</v>
      </c>
      <c r="H99" s="2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2">
        <v>1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27">
        <v>0</v>
      </c>
      <c r="AC99" s="27"/>
      <c r="AD99" s="27"/>
      <c r="AE99" s="27"/>
      <c r="AF99" s="27"/>
      <c r="AG99" s="12" t="str">
        <f t="shared" si="3"/>
        <v xml:space="preserve">2000, 2010, </v>
      </c>
      <c r="AH99" s="37" t="s">
        <v>326</v>
      </c>
      <c r="AI99" s="42" t="s">
        <v>229</v>
      </c>
    </row>
    <row r="100" spans="1:35" s="3" customFormat="1">
      <c r="A100" s="20">
        <f t="shared" si="4"/>
        <v>97</v>
      </c>
      <c r="B100" s="21" t="s">
        <v>126</v>
      </c>
      <c r="C100" s="35" t="s">
        <v>327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2">
        <v>1</v>
      </c>
      <c r="X100" s="1">
        <v>0</v>
      </c>
      <c r="Y100" s="1">
        <v>0</v>
      </c>
      <c r="Z100" s="1">
        <v>0</v>
      </c>
      <c r="AA100" s="1">
        <v>0</v>
      </c>
      <c r="AB100" s="27">
        <v>1</v>
      </c>
      <c r="AC100" s="27"/>
      <c r="AD100" s="27"/>
      <c r="AE100" s="27"/>
      <c r="AF100" s="27"/>
      <c r="AG100" s="12" t="str">
        <f t="shared" si="3"/>
        <v xml:space="preserve">2015, 2020, </v>
      </c>
      <c r="AH100" s="37" t="s">
        <v>327</v>
      </c>
      <c r="AI100" s="42" t="s">
        <v>229</v>
      </c>
    </row>
    <row r="101" spans="1:35" s="3" customFormat="1">
      <c r="A101" s="20">
        <f t="shared" si="4"/>
        <v>98</v>
      </c>
      <c r="B101" s="21" t="s">
        <v>127</v>
      </c>
      <c r="C101" s="35" t="s">
        <v>328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2">
        <v>1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2">
        <v>1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27">
        <v>0</v>
      </c>
      <c r="AC101" s="27"/>
      <c r="AD101" s="27"/>
      <c r="AE101" s="27"/>
      <c r="AF101" s="27"/>
      <c r="AG101" s="12" t="str">
        <f t="shared" si="3"/>
        <v xml:space="preserve">2001, 2011, </v>
      </c>
      <c r="AH101" s="37" t="s">
        <v>328</v>
      </c>
      <c r="AI101" s="42" t="s">
        <v>229</v>
      </c>
    </row>
    <row r="102" spans="1:35" s="3" customFormat="1">
      <c r="A102" s="20">
        <f t="shared" si="4"/>
        <v>99</v>
      </c>
      <c r="B102" s="23" t="s">
        <v>128</v>
      </c>
      <c r="C102" s="23" t="s">
        <v>329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26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27">
        <v>0</v>
      </c>
      <c r="AC102" s="27"/>
      <c r="AD102" s="27"/>
      <c r="AE102" s="27"/>
      <c r="AF102" s="27"/>
      <c r="AG102" s="12" t="str">
        <f t="shared" si="3"/>
        <v/>
      </c>
      <c r="AH102" s="37" t="s">
        <v>329</v>
      </c>
      <c r="AI102" s="42" t="s">
        <v>229</v>
      </c>
    </row>
    <row r="103" spans="1:35" s="3" customFormat="1">
      <c r="A103" s="20">
        <f t="shared" si="4"/>
        <v>100</v>
      </c>
      <c r="B103" s="21" t="s">
        <v>129</v>
      </c>
      <c r="C103" s="35" t="s">
        <v>330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2">
        <v>1</v>
      </c>
      <c r="Q103" s="1">
        <v>0</v>
      </c>
      <c r="R103" s="1">
        <v>0</v>
      </c>
      <c r="S103" s="1">
        <v>0</v>
      </c>
      <c r="T103" s="26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27">
        <v>0</v>
      </c>
      <c r="AC103" s="27"/>
      <c r="AD103" s="27">
        <v>1</v>
      </c>
      <c r="AE103" s="27"/>
      <c r="AF103" s="27"/>
      <c r="AG103" s="12" t="str">
        <f t="shared" si="3"/>
        <v xml:space="preserve">2008, 2022, </v>
      </c>
      <c r="AH103" s="37" t="s">
        <v>330</v>
      </c>
      <c r="AI103" s="42" t="s">
        <v>229</v>
      </c>
    </row>
    <row r="104" spans="1:35" s="3" customFormat="1">
      <c r="A104" s="20">
        <f t="shared" si="4"/>
        <v>101</v>
      </c>
      <c r="B104" s="21" t="s">
        <v>130</v>
      </c>
      <c r="C104" s="35" t="s">
        <v>331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26">
        <v>0</v>
      </c>
      <c r="P104" s="1">
        <v>0</v>
      </c>
      <c r="Q104" s="1">
        <v>0</v>
      </c>
      <c r="R104" s="1">
        <v>0</v>
      </c>
      <c r="S104" s="1">
        <v>0</v>
      </c>
      <c r="T104" s="2">
        <v>1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27">
        <v>0</v>
      </c>
      <c r="AC104" s="27"/>
      <c r="AD104" s="27"/>
      <c r="AE104" s="27"/>
      <c r="AF104" s="27"/>
      <c r="AG104" s="12" t="str">
        <f t="shared" si="3"/>
        <v xml:space="preserve">2012, </v>
      </c>
      <c r="AH104" s="37" t="s">
        <v>331</v>
      </c>
      <c r="AI104" s="42" t="s">
        <v>229</v>
      </c>
    </row>
    <row r="105" spans="1:35" s="3" customFormat="1">
      <c r="A105" s="20">
        <f t="shared" si="4"/>
        <v>102</v>
      </c>
      <c r="B105" s="21" t="s">
        <v>131</v>
      </c>
      <c r="C105" s="35" t="s">
        <v>332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2"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2">
        <v>1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27">
        <v>0</v>
      </c>
      <c r="AC105" s="27"/>
      <c r="AD105" s="27"/>
      <c r="AE105" s="27"/>
      <c r="AF105" s="27"/>
      <c r="AG105" s="12" t="str">
        <f t="shared" si="3"/>
        <v xml:space="preserve">2002, 2012, </v>
      </c>
      <c r="AH105" s="37" t="s">
        <v>332</v>
      </c>
      <c r="AI105" s="42" t="s">
        <v>229</v>
      </c>
    </row>
    <row r="106" spans="1:35" s="3" customFormat="1">
      <c r="A106" s="20">
        <f t="shared" si="4"/>
        <v>103</v>
      </c>
      <c r="B106" s="21" t="s">
        <v>132</v>
      </c>
      <c r="C106" s="35" t="s">
        <v>333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2">
        <v>1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2">
        <v>1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27">
        <v>1</v>
      </c>
      <c r="AC106" s="27"/>
      <c r="AD106" s="27"/>
      <c r="AE106" s="27"/>
      <c r="AF106" s="27"/>
      <c r="AG106" s="12" t="str">
        <f t="shared" si="3"/>
        <v xml:space="preserve">2002, 2010, 2020, </v>
      </c>
      <c r="AH106" s="37" t="s">
        <v>333</v>
      </c>
      <c r="AI106" s="42" t="s">
        <v>229</v>
      </c>
    </row>
    <row r="107" spans="1:35" s="3" customFormat="1">
      <c r="A107" s="20">
        <f t="shared" si="4"/>
        <v>104</v>
      </c>
      <c r="B107" s="23" t="s">
        <v>133</v>
      </c>
      <c r="C107" s="23" t="s">
        <v>334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2">
        <v>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2">
        <v>1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27">
        <v>1</v>
      </c>
      <c r="AC107" s="27"/>
      <c r="AD107" s="27"/>
      <c r="AE107" s="27"/>
      <c r="AF107" s="27"/>
      <c r="AG107" s="12" t="str">
        <f t="shared" si="3"/>
        <v xml:space="preserve">2002, 2010, 2020, </v>
      </c>
      <c r="AH107" s="37" t="s">
        <v>334</v>
      </c>
      <c r="AI107" s="42" t="s">
        <v>229</v>
      </c>
    </row>
    <row r="108" spans="1:35" s="3" customFormat="1">
      <c r="A108" s="20">
        <f t="shared" si="4"/>
        <v>105</v>
      </c>
      <c r="B108" s="21" t="s">
        <v>134</v>
      </c>
      <c r="C108" s="3" t="s">
        <v>335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2">
        <v>1</v>
      </c>
      <c r="O108" s="1">
        <v>0</v>
      </c>
      <c r="P108" s="1">
        <v>0</v>
      </c>
      <c r="Q108" s="1">
        <v>0</v>
      </c>
      <c r="R108" s="26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2">
        <v>1</v>
      </c>
      <c r="Y108" s="1">
        <v>0</v>
      </c>
      <c r="Z108" s="1">
        <v>0</v>
      </c>
      <c r="AA108" s="1">
        <v>0</v>
      </c>
      <c r="AB108" s="27">
        <v>0</v>
      </c>
      <c r="AC108" s="27"/>
      <c r="AD108" s="27"/>
      <c r="AE108" s="27"/>
      <c r="AF108" s="27"/>
      <c r="AG108" s="12" t="str">
        <f t="shared" si="3"/>
        <v xml:space="preserve">2006, 2016, </v>
      </c>
      <c r="AH108" s="37" t="s">
        <v>335</v>
      </c>
      <c r="AI108" s="42" t="s">
        <v>229</v>
      </c>
    </row>
    <row r="109" spans="1:35" s="3" customFormat="1" ht="14.25" customHeight="1">
      <c r="A109" s="20">
        <f t="shared" si="4"/>
        <v>106</v>
      </c>
      <c r="B109" s="21" t="s">
        <v>135</v>
      </c>
      <c r="C109" s="35" t="s">
        <v>336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26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27">
        <v>0</v>
      </c>
      <c r="AC109" s="27"/>
      <c r="AD109" s="27">
        <v>1</v>
      </c>
      <c r="AE109" s="27"/>
      <c r="AF109" s="27"/>
      <c r="AG109" s="12" t="str">
        <f t="shared" si="3"/>
        <v xml:space="preserve">2022, </v>
      </c>
      <c r="AH109" s="37" t="s">
        <v>336</v>
      </c>
      <c r="AI109" s="42" t="s">
        <v>229</v>
      </c>
    </row>
    <row r="110" spans="1:35" s="3" customFormat="1">
      <c r="A110" s="20">
        <f t="shared" si="4"/>
        <v>107</v>
      </c>
      <c r="B110" s="21" t="s">
        <v>136</v>
      </c>
      <c r="C110" s="35" t="s">
        <v>337</v>
      </c>
      <c r="D110" s="1">
        <v>0</v>
      </c>
      <c r="E110" s="1">
        <v>0</v>
      </c>
      <c r="F110" s="1">
        <v>0</v>
      </c>
      <c r="G110" s="2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2">
        <v>1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1</v>
      </c>
      <c r="AB110" s="27">
        <v>0</v>
      </c>
      <c r="AC110" s="27"/>
      <c r="AD110" s="27"/>
      <c r="AE110" s="27"/>
      <c r="AF110" s="27"/>
      <c r="AG110" s="12" t="str">
        <f t="shared" si="3"/>
        <v xml:space="preserve">1999, 2009, 2019, </v>
      </c>
      <c r="AH110" s="37" t="s">
        <v>337</v>
      </c>
      <c r="AI110" s="42" t="s">
        <v>229</v>
      </c>
    </row>
    <row r="111" spans="1:35" s="3" customFormat="1">
      <c r="A111" s="20">
        <f t="shared" si="4"/>
        <v>108</v>
      </c>
      <c r="B111" s="21" t="s">
        <v>137</v>
      </c>
      <c r="C111" s="23" t="s">
        <v>338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26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27">
        <v>0</v>
      </c>
      <c r="AC111" s="27"/>
      <c r="AD111" s="27"/>
      <c r="AE111" s="27"/>
      <c r="AF111" s="27"/>
      <c r="AG111" s="12" t="str">
        <f t="shared" si="3"/>
        <v/>
      </c>
      <c r="AH111" s="37" t="s">
        <v>338</v>
      </c>
      <c r="AI111" s="42" t="s">
        <v>229</v>
      </c>
    </row>
    <row r="112" spans="1:35" s="3" customFormat="1">
      <c r="A112" s="20">
        <f t="shared" si="4"/>
        <v>109</v>
      </c>
      <c r="B112" s="21" t="s">
        <v>138</v>
      </c>
      <c r="C112" s="35" t="s">
        <v>339</v>
      </c>
      <c r="D112" s="1">
        <v>0</v>
      </c>
      <c r="E112" s="1">
        <v>0</v>
      </c>
      <c r="F112" s="1">
        <v>0</v>
      </c>
      <c r="G112" s="2">
        <v>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2">
        <v>1</v>
      </c>
      <c r="V112" s="1">
        <v>0</v>
      </c>
      <c r="W112" s="1">
        <v>0</v>
      </c>
      <c r="X112" s="26">
        <v>0</v>
      </c>
      <c r="Y112" s="1">
        <v>0</v>
      </c>
      <c r="Z112" s="1">
        <v>0</v>
      </c>
      <c r="AA112" s="1">
        <v>0</v>
      </c>
      <c r="AB112" s="27">
        <v>0</v>
      </c>
      <c r="AC112" s="27"/>
      <c r="AD112" s="27"/>
      <c r="AE112" s="27">
        <v>1</v>
      </c>
      <c r="AF112" s="27"/>
      <c r="AG112" s="12" t="str">
        <f t="shared" si="3"/>
        <v xml:space="preserve">1999, 2013, 2023, </v>
      </c>
      <c r="AH112" s="37" t="s">
        <v>339</v>
      </c>
      <c r="AI112" s="42" t="s">
        <v>229</v>
      </c>
    </row>
    <row r="113" spans="1:35" s="3" customFormat="1">
      <c r="A113" s="20">
        <f t="shared" si="4"/>
        <v>110</v>
      </c>
      <c r="B113" s="23" t="s">
        <v>139</v>
      </c>
      <c r="C113" s="23" t="s">
        <v>340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2">
        <v>1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2">
        <v>1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27">
        <v>0</v>
      </c>
      <c r="AC113" s="27"/>
      <c r="AD113" s="27"/>
      <c r="AE113" s="27">
        <v>1</v>
      </c>
      <c r="AF113" s="27"/>
      <c r="AG113" s="12" t="str">
        <f t="shared" si="3"/>
        <v xml:space="preserve">2002, 2012, 2023, </v>
      </c>
      <c r="AH113" s="37" t="s">
        <v>340</v>
      </c>
      <c r="AI113" s="9" t="s">
        <v>341</v>
      </c>
    </row>
    <row r="114" spans="1:35" s="3" customFormat="1">
      <c r="A114" s="20">
        <f t="shared" si="4"/>
        <v>111</v>
      </c>
      <c r="B114" s="21" t="s">
        <v>140</v>
      </c>
      <c r="C114" s="35" t="s">
        <v>342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2">
        <v>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2">
        <v>1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27">
        <v>0</v>
      </c>
      <c r="AC114" s="27"/>
      <c r="AD114" s="27"/>
      <c r="AE114" s="27"/>
      <c r="AF114" s="27"/>
      <c r="AG114" s="12" t="str">
        <f t="shared" si="3"/>
        <v xml:space="preserve">2002, 2011, </v>
      </c>
      <c r="AH114" s="37" t="s">
        <v>342</v>
      </c>
      <c r="AI114" s="42" t="s">
        <v>229</v>
      </c>
    </row>
    <row r="115" spans="1:35" s="3" customFormat="1">
      <c r="A115" s="20">
        <f t="shared" si="4"/>
        <v>112</v>
      </c>
      <c r="B115" s="23" t="s">
        <v>141</v>
      </c>
      <c r="C115" s="23" t="s">
        <v>343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26">
        <v>0</v>
      </c>
      <c r="X115" s="1">
        <v>0</v>
      </c>
      <c r="Y115" s="1">
        <v>0</v>
      </c>
      <c r="Z115" s="1">
        <v>0</v>
      </c>
      <c r="AA115" s="1">
        <v>0</v>
      </c>
      <c r="AB115" s="27">
        <v>0</v>
      </c>
      <c r="AC115" s="27"/>
      <c r="AD115" s="27"/>
      <c r="AE115" s="27"/>
      <c r="AF115" s="27"/>
      <c r="AG115" s="12" t="str">
        <f t="shared" si="3"/>
        <v/>
      </c>
      <c r="AH115" s="37" t="s">
        <v>343</v>
      </c>
      <c r="AI115" s="42" t="s">
        <v>229</v>
      </c>
    </row>
    <row r="116" spans="1:35" s="3" customFormat="1">
      <c r="A116" s="20">
        <f t="shared" si="4"/>
        <v>113</v>
      </c>
      <c r="B116" s="22" t="s">
        <v>142</v>
      </c>
      <c r="C116" s="23" t="s">
        <v>344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26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27">
        <v>0</v>
      </c>
      <c r="AC116" s="27"/>
      <c r="AD116" s="27"/>
      <c r="AE116" s="27"/>
      <c r="AF116" s="27"/>
      <c r="AG116" s="12" t="str">
        <f t="shared" si="3"/>
        <v/>
      </c>
      <c r="AH116" s="37" t="s">
        <v>344</v>
      </c>
      <c r="AI116" s="42" t="s">
        <v>229</v>
      </c>
    </row>
    <row r="117" spans="1:35" s="3" customFormat="1">
      <c r="A117" s="20">
        <f t="shared" si="4"/>
        <v>114</v>
      </c>
      <c r="B117" s="21" t="s">
        <v>143</v>
      </c>
      <c r="C117" s="35" t="s">
        <v>345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27">
        <v>0</v>
      </c>
      <c r="AC117" s="27"/>
      <c r="AD117" s="27"/>
      <c r="AE117" s="27"/>
      <c r="AF117" s="27"/>
      <c r="AG117" s="12" t="str">
        <f t="shared" si="3"/>
        <v/>
      </c>
      <c r="AH117" s="37" t="s">
        <v>345</v>
      </c>
      <c r="AI117" s="42" t="s">
        <v>229</v>
      </c>
    </row>
    <row r="118" spans="1:35" s="3" customFormat="1">
      <c r="A118" s="20">
        <f t="shared" si="4"/>
        <v>115</v>
      </c>
      <c r="B118" s="21" t="s">
        <v>144</v>
      </c>
      <c r="C118" s="3" t="s">
        <v>346</v>
      </c>
      <c r="D118" s="1">
        <v>0</v>
      </c>
      <c r="E118" s="1">
        <v>0</v>
      </c>
      <c r="F118" s="1">
        <v>0</v>
      </c>
      <c r="G118" s="1">
        <v>0</v>
      </c>
      <c r="H118" s="2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2">
        <v>1</v>
      </c>
      <c r="P118" s="1">
        <v>0</v>
      </c>
      <c r="Q118" s="1">
        <v>0</v>
      </c>
      <c r="R118" s="1">
        <v>0</v>
      </c>
      <c r="S118" s="26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2">
        <v>1</v>
      </c>
      <c r="AA118" s="1">
        <v>0</v>
      </c>
      <c r="AB118" s="27">
        <v>0</v>
      </c>
      <c r="AC118" s="27"/>
      <c r="AD118" s="27"/>
      <c r="AE118" s="27"/>
      <c r="AF118" s="27"/>
      <c r="AG118" s="12" t="str">
        <f t="shared" si="3"/>
        <v xml:space="preserve">2000, 2007, 2018, </v>
      </c>
      <c r="AH118" s="37" t="s">
        <v>346</v>
      </c>
      <c r="AI118" s="42" t="s">
        <v>229</v>
      </c>
    </row>
    <row r="119" spans="1:35" s="3" customFormat="1">
      <c r="A119" s="20">
        <f t="shared" si="4"/>
        <v>116</v>
      </c>
      <c r="B119" s="23" t="s">
        <v>145</v>
      </c>
      <c r="C119" s="23" t="s">
        <v>347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26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27">
        <v>0</v>
      </c>
      <c r="AC119" s="27"/>
      <c r="AD119" s="27"/>
      <c r="AE119" s="27"/>
      <c r="AF119" s="27"/>
      <c r="AG119" s="12" t="str">
        <f t="shared" si="3"/>
        <v/>
      </c>
      <c r="AH119" s="37" t="s">
        <v>347</v>
      </c>
      <c r="AI119" s="42" t="s">
        <v>229</v>
      </c>
    </row>
    <row r="120" spans="1:35" s="3" customFormat="1">
      <c r="A120" s="20">
        <f t="shared" si="4"/>
        <v>117</v>
      </c>
      <c r="B120" s="21" t="s">
        <v>146</v>
      </c>
      <c r="C120" s="35" t="s">
        <v>348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2">
        <v>1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2">
        <v>1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27">
        <v>0</v>
      </c>
      <c r="AC120" s="27"/>
      <c r="AD120" s="27"/>
      <c r="AE120" s="27"/>
      <c r="AF120" s="27"/>
      <c r="AG120" s="12" t="str">
        <f t="shared" si="3"/>
        <v xml:space="preserve">2002, 2013, </v>
      </c>
      <c r="AH120" s="37" t="s">
        <v>348</v>
      </c>
      <c r="AI120" s="42" t="s">
        <v>229</v>
      </c>
    </row>
    <row r="121" spans="1:35" s="3" customFormat="1">
      <c r="A121" s="20">
        <f t="shared" si="4"/>
        <v>118</v>
      </c>
      <c r="B121" s="23" t="s">
        <v>147</v>
      </c>
      <c r="C121" s="23" t="s">
        <v>349</v>
      </c>
      <c r="D121" s="1">
        <v>0</v>
      </c>
      <c r="E121" s="1">
        <v>0</v>
      </c>
      <c r="F121" s="1">
        <v>0</v>
      </c>
      <c r="G121" s="1">
        <v>0</v>
      </c>
      <c r="H121" s="2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26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27">
        <v>0</v>
      </c>
      <c r="AC121" s="27"/>
      <c r="AD121" s="27"/>
      <c r="AE121" s="27"/>
      <c r="AF121" s="27"/>
      <c r="AG121" s="12" t="str">
        <f t="shared" si="3"/>
        <v xml:space="preserve">2000, </v>
      </c>
      <c r="AH121" s="37" t="s">
        <v>349</v>
      </c>
      <c r="AI121" s="42" t="s">
        <v>229</v>
      </c>
    </row>
    <row r="122" spans="1:35" s="3" customFormat="1">
      <c r="A122" s="20">
        <f t="shared" si="4"/>
        <v>119</v>
      </c>
      <c r="B122" s="23" t="s">
        <v>148</v>
      </c>
      <c r="C122" s="23" t="s">
        <v>350</v>
      </c>
      <c r="D122" s="2">
        <v>1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2">
        <v>1</v>
      </c>
      <c r="P122" s="1">
        <v>0</v>
      </c>
      <c r="Q122" s="1">
        <v>0</v>
      </c>
      <c r="R122" s="26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27">
        <v>0</v>
      </c>
      <c r="AC122" s="27"/>
      <c r="AD122" s="27"/>
      <c r="AE122" s="27"/>
      <c r="AF122" s="27"/>
      <c r="AG122" s="12" t="str">
        <f t="shared" si="3"/>
        <v xml:space="preserve">1996, 2007, </v>
      </c>
      <c r="AH122" s="37" t="s">
        <v>350</v>
      </c>
      <c r="AI122" s="42" t="s">
        <v>229</v>
      </c>
    </row>
    <row r="123" spans="1:35" s="3" customFormat="1">
      <c r="A123" s="20">
        <f t="shared" si="4"/>
        <v>120</v>
      </c>
      <c r="B123" s="1" t="s">
        <v>149</v>
      </c>
      <c r="C123" s="3" t="s">
        <v>351</v>
      </c>
      <c r="D123" s="1">
        <v>0</v>
      </c>
      <c r="E123" s="1">
        <v>0</v>
      </c>
      <c r="F123" s="1">
        <v>0</v>
      </c>
      <c r="G123" s="1">
        <v>0</v>
      </c>
      <c r="H123" s="2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26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30">
        <v>0</v>
      </c>
      <c r="AB123" s="27">
        <v>0</v>
      </c>
      <c r="AC123" s="27"/>
      <c r="AD123" s="27"/>
      <c r="AE123" s="27"/>
      <c r="AF123" s="27"/>
      <c r="AG123" s="12" t="str">
        <f t="shared" si="3"/>
        <v xml:space="preserve">2000, </v>
      </c>
      <c r="AH123" s="37" t="s">
        <v>351</v>
      </c>
      <c r="AI123" s="42" t="s">
        <v>229</v>
      </c>
    </row>
    <row r="124" spans="1:35" s="3" customFormat="1">
      <c r="A124" s="20">
        <f t="shared" si="4"/>
        <v>121</v>
      </c>
      <c r="B124" s="21" t="s">
        <v>150</v>
      </c>
      <c r="C124" s="3" t="s">
        <v>352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26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30">
        <v>0</v>
      </c>
      <c r="AA124" s="1">
        <v>0</v>
      </c>
      <c r="AB124" s="27">
        <v>0</v>
      </c>
      <c r="AC124" s="27"/>
      <c r="AD124" s="27"/>
      <c r="AE124" s="27"/>
      <c r="AF124" s="27"/>
      <c r="AG124" s="12" t="str">
        <f t="shared" si="3"/>
        <v/>
      </c>
      <c r="AH124" s="37" t="s">
        <v>352</v>
      </c>
      <c r="AI124" s="42" t="s">
        <v>229</v>
      </c>
    </row>
    <row r="125" spans="1:35" s="3" customFormat="1">
      <c r="A125" s="20">
        <f t="shared" si="4"/>
        <v>122</v>
      </c>
      <c r="B125" s="21" t="s">
        <v>151</v>
      </c>
      <c r="C125" s="35" t="s">
        <v>353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2">
        <v>1</v>
      </c>
      <c r="Q125" s="1">
        <v>0</v>
      </c>
      <c r="R125" s="1">
        <v>0</v>
      </c>
      <c r="S125" s="1">
        <v>0</v>
      </c>
      <c r="T125" s="26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27">
        <v>0</v>
      </c>
      <c r="AC125" s="27"/>
      <c r="AD125" s="27"/>
      <c r="AE125" s="27"/>
      <c r="AF125" s="27"/>
      <c r="AG125" s="12" t="str">
        <f t="shared" si="3"/>
        <v xml:space="preserve">2008, </v>
      </c>
      <c r="AH125" s="37" t="s">
        <v>353</v>
      </c>
      <c r="AI125" s="42" t="s">
        <v>229</v>
      </c>
    </row>
    <row r="126" spans="1:35" s="3" customFormat="1">
      <c r="A126" s="20">
        <f t="shared" si="4"/>
        <v>123</v>
      </c>
      <c r="B126" s="23" t="s">
        <v>152</v>
      </c>
      <c r="C126" s="35" t="s">
        <v>354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26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27">
        <v>0</v>
      </c>
      <c r="AC126" s="27"/>
      <c r="AD126" s="27"/>
      <c r="AE126" s="27"/>
      <c r="AF126" s="27"/>
      <c r="AG126" s="12" t="str">
        <f t="shared" si="3"/>
        <v/>
      </c>
      <c r="AH126" s="37" t="s">
        <v>354</v>
      </c>
      <c r="AI126" s="42" t="s">
        <v>229</v>
      </c>
    </row>
    <row r="127" spans="1:35" s="3" customFormat="1">
      <c r="A127" s="20">
        <f t="shared" si="4"/>
        <v>124</v>
      </c>
      <c r="B127" s="23" t="s">
        <v>153</v>
      </c>
      <c r="C127" s="23" t="s">
        <v>355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26">
        <v>0</v>
      </c>
      <c r="S127" s="1">
        <v>0</v>
      </c>
      <c r="T127" s="1">
        <v>0</v>
      </c>
      <c r="U127" s="2">
        <v>1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27">
        <v>0</v>
      </c>
      <c r="AC127" s="27"/>
      <c r="AD127" s="27"/>
      <c r="AE127" s="27"/>
      <c r="AF127" s="27"/>
      <c r="AG127" s="12" t="str">
        <f t="shared" si="3"/>
        <v xml:space="preserve">2013, </v>
      </c>
      <c r="AH127" s="37" t="s">
        <v>355</v>
      </c>
      <c r="AI127" s="42" t="s">
        <v>229</v>
      </c>
    </row>
    <row r="128" spans="1:35" s="3" customFormat="1">
      <c r="A128" s="20">
        <f t="shared" si="4"/>
        <v>125</v>
      </c>
      <c r="B128" s="23" t="s">
        <v>154</v>
      </c>
      <c r="C128" s="3" t="s">
        <v>356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2">
        <v>1</v>
      </c>
      <c r="K128" s="1">
        <v>0</v>
      </c>
      <c r="L128" s="1">
        <v>0</v>
      </c>
      <c r="M128" s="1">
        <v>0</v>
      </c>
      <c r="N128" s="1">
        <v>0</v>
      </c>
      <c r="O128" s="2">
        <v>1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26">
        <v>0</v>
      </c>
      <c r="X128" s="1">
        <v>0</v>
      </c>
      <c r="Y128" s="1">
        <v>0</v>
      </c>
      <c r="Z128" s="1">
        <v>0</v>
      </c>
      <c r="AA128" s="2">
        <v>1</v>
      </c>
      <c r="AB128" s="27">
        <v>0</v>
      </c>
      <c r="AC128" s="27"/>
      <c r="AD128" s="27"/>
      <c r="AE128" s="27"/>
      <c r="AF128" s="27"/>
      <c r="AG128" s="12" t="str">
        <f t="shared" si="3"/>
        <v xml:space="preserve">2002, 2007, 2019, </v>
      </c>
      <c r="AH128" s="37" t="s">
        <v>356</v>
      </c>
      <c r="AI128" s="42" t="s">
        <v>229</v>
      </c>
    </row>
    <row r="129" spans="1:35" s="3" customFormat="1">
      <c r="A129" s="20">
        <f t="shared" si="4"/>
        <v>126</v>
      </c>
      <c r="B129" s="23" t="s">
        <v>155</v>
      </c>
      <c r="C129" s="35" t="s">
        <v>357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2">
        <v>1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2">
        <v>1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27">
        <v>0</v>
      </c>
      <c r="AC129" s="27"/>
      <c r="AD129" s="27"/>
      <c r="AE129" s="27"/>
      <c r="AF129" s="27"/>
      <c r="AG129" s="12" t="str">
        <f t="shared" si="3"/>
        <v xml:space="preserve">2003, 2013, </v>
      </c>
      <c r="AH129" s="37" t="s">
        <v>357</v>
      </c>
      <c r="AI129" s="42" t="s">
        <v>229</v>
      </c>
    </row>
    <row r="130" spans="1:35" s="3" customFormat="1">
      <c r="A130" s="20">
        <f t="shared" si="4"/>
        <v>127</v>
      </c>
      <c r="B130" s="23" t="s">
        <v>156</v>
      </c>
      <c r="C130" s="3" t="s">
        <v>358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26">
        <v>0</v>
      </c>
      <c r="X130" s="1">
        <v>0</v>
      </c>
      <c r="Y130" s="1">
        <v>0</v>
      </c>
      <c r="Z130" s="1">
        <v>0</v>
      </c>
      <c r="AA130" s="2">
        <v>1</v>
      </c>
      <c r="AB130" s="27">
        <v>0</v>
      </c>
      <c r="AC130" s="27"/>
      <c r="AD130" s="27"/>
      <c r="AE130" s="27"/>
      <c r="AF130" s="27"/>
      <c r="AG130" s="12" t="str">
        <f t="shared" si="3"/>
        <v xml:space="preserve">2019, </v>
      </c>
      <c r="AH130" s="37" t="s">
        <v>358</v>
      </c>
      <c r="AI130" s="42" t="s">
        <v>229</v>
      </c>
    </row>
    <row r="131" spans="1:35" s="3" customFormat="1">
      <c r="A131" s="20">
        <f t="shared" si="4"/>
        <v>128</v>
      </c>
      <c r="B131" s="23" t="s">
        <v>157</v>
      </c>
      <c r="C131" s="3" t="s">
        <v>359</v>
      </c>
      <c r="D131" s="2">
        <v>1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26">
        <v>0</v>
      </c>
      <c r="S131" s="1">
        <v>0</v>
      </c>
      <c r="T131" s="2">
        <v>1</v>
      </c>
      <c r="U131" s="1">
        <v>0</v>
      </c>
      <c r="V131" s="26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27">
        <v>0</v>
      </c>
      <c r="AC131" s="27"/>
      <c r="AD131" s="27"/>
      <c r="AE131" s="27"/>
      <c r="AF131" s="27"/>
      <c r="AG131" s="12" t="str">
        <f t="shared" si="3"/>
        <v xml:space="preserve">1996, 2012, </v>
      </c>
      <c r="AH131" s="37" t="s">
        <v>359</v>
      </c>
      <c r="AI131" s="42" t="s">
        <v>229</v>
      </c>
    </row>
    <row r="132" spans="1:35" s="3" customFormat="1">
      <c r="A132" s="20">
        <f t="shared" si="4"/>
        <v>129</v>
      </c>
      <c r="B132" s="23" t="s">
        <v>158</v>
      </c>
      <c r="C132" s="35" t="s">
        <v>360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2">
        <v>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2">
        <v>1</v>
      </c>
      <c r="X132" s="1">
        <v>0</v>
      </c>
      <c r="Y132" s="1">
        <v>0</v>
      </c>
      <c r="Z132" s="1">
        <v>0</v>
      </c>
      <c r="AA132" s="1">
        <v>0</v>
      </c>
      <c r="AB132" s="27">
        <v>0</v>
      </c>
      <c r="AC132" s="27"/>
      <c r="AD132" s="27"/>
      <c r="AE132" s="27"/>
      <c r="AF132" s="27"/>
      <c r="AG132" s="12" t="str">
        <f t="shared" ref="AG132:AG193" si="5">+IF($D132=1,RIGHT(D$3,4)&amp;", ","")&amp;IF($E132=1,RIGHT(E$3,4)&amp;", ","")&amp;IF($F132=1,RIGHT(F$3,4)&amp;", ","")&amp;IF($G132=1,RIGHT(G$3,4)&amp;", ","")&amp;IF($H132=1,RIGHT(H$3,4)&amp;", ","")&amp;IF($I132=1,RIGHT(I$3,4)&amp;", ","")&amp;IF($J132=1,RIGHT(J$3,4)&amp;", ","")&amp;IF($K132=1,RIGHT(K$3,4)&amp;", ","")&amp;IF($L132=1,RIGHT(L$3,4)&amp;", ","")&amp;IF($M132=1,RIGHT(M$3,4)&amp;", ","")&amp;IF($N132=1,RIGHT(N$3,4)&amp;", ","")&amp;IF($O132=1,RIGHT(O$3,4)&amp;", ","")&amp;IF($P132=1,RIGHT(P$3,4)&amp;", ","")&amp;IF($Q132=1,RIGHT(Q$3,4)&amp;", ","")&amp;IF($R132=1,RIGHT(R$3,4)&amp;", ","")&amp;IF($S132=1,RIGHT(S$3,4)&amp;", ","")&amp;IF($T132=1,RIGHT(T$3,4)&amp;", ","")&amp;IF($U132=1,RIGHT(U$3,4)&amp;", ","")&amp;IF($V132=1,RIGHT(V$3,4)&amp;", ","")&amp;IF($W132=1,RIGHT(W$3,4)&amp;", ","")&amp;IF($X132=1,RIGHT(X$3,4)&amp;", ","")&amp;IF($Y132=1,RIGHT(Y$3,4)&amp;", ","")&amp;IF($Z132=1, RIGHT(Z$3,4)&amp;", ", "")&amp;IF($AA132=1, RIGHT(AA$3,4)&amp;", ", "")&amp;IF($AB132=1, RIGHT(AB$3,4)&amp;", ", "")&amp;IF($AC132=1, RIGHT(AC$3,4)&amp;", ", "")&amp;IF($AD132=1, RIGHT(AD$3,4)&amp;", ", "")&amp;IF($AE132=1, RIGHT(AE$3,4)&amp;", ", "")&amp;IF($AF132=1, RIGHT(AF$3,4)&amp;", ", "")</f>
        <v xml:space="preserve">2001, 2015, </v>
      </c>
      <c r="AH132" s="37" t="s">
        <v>360</v>
      </c>
      <c r="AI132" s="42" t="s">
        <v>229</v>
      </c>
    </row>
    <row r="133" spans="1:35" s="3" customFormat="1">
      <c r="A133" s="20">
        <f t="shared" ref="A133:A193" si="6">1+A132</f>
        <v>130</v>
      </c>
      <c r="B133" s="23" t="s">
        <v>159</v>
      </c>
      <c r="C133" s="23" t="s">
        <v>361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2">
        <v>1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26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27">
        <v>0</v>
      </c>
      <c r="AC133" s="27"/>
      <c r="AD133" s="27"/>
      <c r="AE133" s="27"/>
      <c r="AF133" s="27"/>
      <c r="AG133" s="12" t="str">
        <f t="shared" si="5"/>
        <v xml:space="preserve">2004, </v>
      </c>
      <c r="AH133" s="37" t="s">
        <v>361</v>
      </c>
      <c r="AI133" s="42" t="s">
        <v>229</v>
      </c>
    </row>
    <row r="134" spans="1:35" s="3" customFormat="1">
      <c r="A134" s="20">
        <f t="shared" si="6"/>
        <v>131</v>
      </c>
      <c r="B134" s="21" t="s">
        <v>160</v>
      </c>
      <c r="C134" s="3" t="s">
        <v>362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2">
        <v>1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26">
        <v>0</v>
      </c>
      <c r="W134" s="1">
        <v>0</v>
      </c>
      <c r="X134" s="1">
        <v>0</v>
      </c>
      <c r="Y134" s="1">
        <v>0</v>
      </c>
      <c r="Z134" s="1">
        <v>0</v>
      </c>
      <c r="AA134" s="30">
        <v>0</v>
      </c>
      <c r="AB134" s="27">
        <v>0</v>
      </c>
      <c r="AC134" s="27"/>
      <c r="AD134" s="27"/>
      <c r="AE134" s="27"/>
      <c r="AF134" s="27"/>
      <c r="AG134" s="12" t="str">
        <f t="shared" si="5"/>
        <v xml:space="preserve">2005, </v>
      </c>
      <c r="AH134" s="37" t="s">
        <v>362</v>
      </c>
      <c r="AI134" s="42" t="s">
        <v>229</v>
      </c>
    </row>
    <row r="135" spans="1:35" s="3" customFormat="1">
      <c r="A135" s="20">
        <f t="shared" si="6"/>
        <v>132</v>
      </c>
      <c r="B135" s="21" t="s">
        <v>161</v>
      </c>
      <c r="C135" s="35" t="s">
        <v>363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2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27">
        <v>0</v>
      </c>
      <c r="AC135" s="27"/>
      <c r="AD135" s="27"/>
      <c r="AE135" s="27"/>
      <c r="AF135" s="27"/>
      <c r="AG135" s="12" t="str">
        <f t="shared" si="5"/>
        <v xml:space="preserve">2001, </v>
      </c>
      <c r="AH135" s="37" t="s">
        <v>363</v>
      </c>
      <c r="AI135" s="42" t="s">
        <v>229</v>
      </c>
    </row>
    <row r="136" spans="1:35" s="3" customFormat="1">
      <c r="A136" s="20">
        <f t="shared" si="6"/>
        <v>133</v>
      </c>
      <c r="B136" s="23" t="s">
        <v>162</v>
      </c>
      <c r="C136" s="23" t="s">
        <v>364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26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27">
        <v>0</v>
      </c>
      <c r="AC136" s="27"/>
      <c r="AD136" s="27"/>
      <c r="AE136" s="27"/>
      <c r="AF136" s="27"/>
      <c r="AG136" s="12" t="str">
        <f t="shared" si="5"/>
        <v/>
      </c>
      <c r="AH136" s="37" t="s">
        <v>364</v>
      </c>
      <c r="AI136" s="42" t="s">
        <v>229</v>
      </c>
    </row>
    <row r="137" spans="1:35" s="3" customFormat="1">
      <c r="A137" s="20">
        <f t="shared" si="6"/>
        <v>134</v>
      </c>
      <c r="B137" s="23" t="s">
        <v>163</v>
      </c>
      <c r="C137" s="35" t="s">
        <v>365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26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</v>
      </c>
      <c r="Z137" s="1">
        <v>0</v>
      </c>
      <c r="AA137" s="1">
        <v>0</v>
      </c>
      <c r="AB137" s="27">
        <v>0</v>
      </c>
      <c r="AC137" s="27"/>
      <c r="AD137" s="27"/>
      <c r="AE137" s="27"/>
      <c r="AF137" s="27"/>
      <c r="AG137" s="12" t="str">
        <f t="shared" si="5"/>
        <v xml:space="preserve">2017, </v>
      </c>
      <c r="AH137" s="37" t="s">
        <v>365</v>
      </c>
      <c r="AI137" s="42" t="s">
        <v>229</v>
      </c>
    </row>
    <row r="138" spans="1:35" s="3" customFormat="1">
      <c r="A138" s="20">
        <f t="shared" si="6"/>
        <v>135</v>
      </c>
      <c r="B138" s="23" t="s">
        <v>164</v>
      </c>
      <c r="C138" s="35" t="s">
        <v>366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2">
        <v>1</v>
      </c>
      <c r="Q138" s="26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27">
        <v>0</v>
      </c>
      <c r="AC138" s="27"/>
      <c r="AD138" s="27"/>
      <c r="AE138" s="27"/>
      <c r="AF138" s="27"/>
      <c r="AG138" s="12" t="str">
        <f t="shared" si="5"/>
        <v xml:space="preserve">2008, </v>
      </c>
      <c r="AH138" s="37" t="s">
        <v>366</v>
      </c>
      <c r="AI138" s="42" t="s">
        <v>229</v>
      </c>
    </row>
    <row r="139" spans="1:35" s="3" customFormat="1">
      <c r="A139" s="20">
        <f t="shared" si="6"/>
        <v>136</v>
      </c>
      <c r="B139" s="23" t="s">
        <v>165</v>
      </c>
      <c r="C139" s="35" t="s">
        <v>367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26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27">
        <v>0</v>
      </c>
      <c r="AC139" s="27"/>
      <c r="AD139" s="27"/>
      <c r="AE139" s="27"/>
      <c r="AF139" s="27"/>
      <c r="AG139" s="12" t="str">
        <f t="shared" si="5"/>
        <v/>
      </c>
      <c r="AH139" s="37" t="s">
        <v>367</v>
      </c>
      <c r="AI139" s="42" t="s">
        <v>229</v>
      </c>
    </row>
    <row r="140" spans="1:35" s="3" customFormat="1">
      <c r="A140" s="20">
        <f t="shared" si="6"/>
        <v>137</v>
      </c>
      <c r="B140" s="25" t="s">
        <v>166</v>
      </c>
      <c r="C140" s="35" t="s">
        <v>368</v>
      </c>
      <c r="D140" s="1">
        <v>0</v>
      </c>
      <c r="E140" s="1">
        <v>0</v>
      </c>
      <c r="F140" s="1">
        <v>0</v>
      </c>
      <c r="G140" s="1">
        <v>0</v>
      </c>
      <c r="H140" s="2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2">
        <v>1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27">
        <v>0</v>
      </c>
      <c r="AC140" s="27"/>
      <c r="AD140" s="27"/>
      <c r="AE140" s="27"/>
      <c r="AF140" s="27"/>
      <c r="AG140" s="12" t="str">
        <f t="shared" si="5"/>
        <v xml:space="preserve">2000, 2011, </v>
      </c>
      <c r="AH140" s="37" t="s">
        <v>368</v>
      </c>
      <c r="AI140" s="42" t="s">
        <v>229</v>
      </c>
    </row>
    <row r="141" spans="1:35" s="3" customFormat="1">
      <c r="A141" s="20">
        <f t="shared" si="6"/>
        <v>138</v>
      </c>
      <c r="B141" s="23" t="s">
        <v>167</v>
      </c>
      <c r="C141" s="23" t="s">
        <v>369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27">
        <v>0</v>
      </c>
      <c r="AC141" s="27"/>
      <c r="AD141" s="27"/>
      <c r="AE141" s="27"/>
      <c r="AF141" s="27"/>
      <c r="AG141" s="12" t="str">
        <f t="shared" si="5"/>
        <v/>
      </c>
      <c r="AH141" s="37" t="s">
        <v>369</v>
      </c>
      <c r="AI141" s="42" t="s">
        <v>229</v>
      </c>
    </row>
    <row r="142" spans="1:35" s="3" customFormat="1">
      <c r="A142" s="20">
        <f t="shared" si="6"/>
        <v>139</v>
      </c>
      <c r="B142" s="25" t="s">
        <v>168</v>
      </c>
      <c r="C142" s="35" t="s">
        <v>370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26">
        <v>0</v>
      </c>
      <c r="O142" s="2">
        <v>1</v>
      </c>
      <c r="P142" s="26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27">
        <v>0</v>
      </c>
      <c r="AC142" s="27"/>
      <c r="AD142" s="27"/>
      <c r="AE142" s="27"/>
      <c r="AF142" s="27"/>
      <c r="AG142" s="12" t="str">
        <f t="shared" si="5"/>
        <v xml:space="preserve">2007, </v>
      </c>
      <c r="AH142" s="37" t="s">
        <v>370</v>
      </c>
      <c r="AI142" s="42" t="s">
        <v>229</v>
      </c>
    </row>
    <row r="143" spans="1:35" s="3" customFormat="1">
      <c r="A143" s="20">
        <f t="shared" si="6"/>
        <v>140</v>
      </c>
      <c r="B143" s="25" t="s">
        <v>169</v>
      </c>
      <c r="C143" s="35" t="s">
        <v>371</v>
      </c>
      <c r="D143" s="8">
        <v>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2">
        <v>1</v>
      </c>
      <c r="Q143" s="1">
        <v>0</v>
      </c>
      <c r="R143" s="1">
        <v>0</v>
      </c>
      <c r="S143" s="26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27">
        <v>0</v>
      </c>
      <c r="AC143" s="27"/>
      <c r="AD143" s="27"/>
      <c r="AE143" s="27"/>
      <c r="AF143" s="27"/>
      <c r="AG143" s="12" t="str">
        <f t="shared" si="5"/>
        <v xml:space="preserve">1996, 2008, </v>
      </c>
      <c r="AH143" s="37" t="s">
        <v>371</v>
      </c>
      <c r="AI143" s="42" t="s">
        <v>229</v>
      </c>
    </row>
    <row r="144" spans="1:35" s="3" customFormat="1">
      <c r="A144" s="20">
        <f t="shared" si="6"/>
        <v>141</v>
      </c>
      <c r="B144" s="25" t="s">
        <v>170</v>
      </c>
      <c r="C144" s="3" t="s">
        <v>372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2">
        <v>1</v>
      </c>
      <c r="J144" s="1">
        <v>0</v>
      </c>
      <c r="K144" s="1">
        <v>0</v>
      </c>
      <c r="L144" s="1">
        <v>0</v>
      </c>
      <c r="M144" s="1">
        <v>0</v>
      </c>
      <c r="N144" s="4">
        <v>1</v>
      </c>
      <c r="O144" s="1">
        <v>0</v>
      </c>
      <c r="P144" s="1">
        <v>0</v>
      </c>
      <c r="Q144" s="1">
        <v>0</v>
      </c>
      <c r="R144" s="1">
        <v>0</v>
      </c>
      <c r="S144" s="2">
        <v>1</v>
      </c>
      <c r="T144" s="1">
        <v>0</v>
      </c>
      <c r="U144" s="1">
        <v>0</v>
      </c>
      <c r="V144" s="1">
        <v>0</v>
      </c>
      <c r="W144" s="1">
        <v>0</v>
      </c>
      <c r="X144" s="2">
        <v>1</v>
      </c>
      <c r="Y144" s="1">
        <v>0</v>
      </c>
      <c r="Z144" s="1">
        <v>0</v>
      </c>
      <c r="AA144" s="1">
        <v>0</v>
      </c>
      <c r="AB144" s="27">
        <v>1</v>
      </c>
      <c r="AC144" s="27"/>
      <c r="AD144" s="27"/>
      <c r="AE144" s="27"/>
      <c r="AF144" s="27"/>
      <c r="AG144" s="12" t="str">
        <f t="shared" si="5"/>
        <v xml:space="preserve">2001, 2006, 2011, 2016, 2020, </v>
      </c>
      <c r="AH144" s="37" t="s">
        <v>372</v>
      </c>
      <c r="AI144" s="42" t="s">
        <v>229</v>
      </c>
    </row>
    <row r="145" spans="1:35" s="3" customFormat="1">
      <c r="A145" s="20">
        <f t="shared" si="6"/>
        <v>142</v>
      </c>
      <c r="B145" s="21" t="s">
        <v>171</v>
      </c>
      <c r="C145" s="21" t="s">
        <v>373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26">
        <v>0</v>
      </c>
      <c r="P145" s="1">
        <v>0</v>
      </c>
      <c r="Q145" s="1">
        <v>0</v>
      </c>
      <c r="R145" s="2">
        <v>1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27">
        <v>0</v>
      </c>
      <c r="AC145" s="27">
        <v>1</v>
      </c>
      <c r="AD145" s="27"/>
      <c r="AE145" s="27"/>
      <c r="AF145" s="27"/>
      <c r="AG145" s="12" t="str">
        <f t="shared" si="5"/>
        <v xml:space="preserve">2010, 2021, </v>
      </c>
      <c r="AH145" s="37" t="s">
        <v>373</v>
      </c>
      <c r="AI145" s="42" t="s">
        <v>229</v>
      </c>
    </row>
    <row r="146" spans="1:35" s="3" customFormat="1">
      <c r="A146" s="20">
        <f t="shared" si="6"/>
        <v>143</v>
      </c>
      <c r="B146" s="25" t="s">
        <v>172</v>
      </c>
      <c r="C146" s="35" t="s">
        <v>374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2">
        <v>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27">
        <v>0</v>
      </c>
      <c r="AC146" s="27"/>
      <c r="AD146" s="27"/>
      <c r="AE146" s="27"/>
      <c r="AF146" s="27"/>
      <c r="AG146" s="12" t="str">
        <f t="shared" si="5"/>
        <v xml:space="preserve">2002, </v>
      </c>
      <c r="AH146" s="37" t="s">
        <v>374</v>
      </c>
      <c r="AI146" s="42" t="s">
        <v>229</v>
      </c>
    </row>
    <row r="147" spans="1:35" s="3" customFormat="1">
      <c r="A147" s="20">
        <f t="shared" si="6"/>
        <v>144</v>
      </c>
      <c r="B147" s="25" t="s">
        <v>173</v>
      </c>
      <c r="C147" s="3" t="s">
        <v>375</v>
      </c>
      <c r="D147" s="1">
        <v>0</v>
      </c>
      <c r="E147" s="1">
        <v>0</v>
      </c>
      <c r="F147" s="1">
        <v>0</v>
      </c>
      <c r="G147" s="1">
        <v>0</v>
      </c>
      <c r="H147" s="2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26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27">
        <v>0</v>
      </c>
      <c r="AC147" s="27"/>
      <c r="AD147" s="27"/>
      <c r="AE147" s="27"/>
      <c r="AF147" s="27"/>
      <c r="AG147" s="12" t="str">
        <f t="shared" si="5"/>
        <v xml:space="preserve">2000, </v>
      </c>
      <c r="AH147" s="37" t="s">
        <v>375</v>
      </c>
      <c r="AI147" s="42" t="s">
        <v>229</v>
      </c>
    </row>
    <row r="148" spans="1:35" s="3" customFormat="1">
      <c r="A148" s="20">
        <f t="shared" si="6"/>
        <v>145</v>
      </c>
      <c r="B148" s="25" t="s">
        <v>174</v>
      </c>
      <c r="C148" s="35" t="s">
        <v>376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26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27">
        <v>0</v>
      </c>
      <c r="AC148" s="27"/>
      <c r="AD148" s="27"/>
      <c r="AE148" s="27"/>
      <c r="AF148" s="27"/>
      <c r="AG148" s="12" t="str">
        <f t="shared" si="5"/>
        <v/>
      </c>
      <c r="AH148" s="37" t="s">
        <v>376</v>
      </c>
      <c r="AI148" s="42" t="s">
        <v>229</v>
      </c>
    </row>
    <row r="149" spans="1:35">
      <c r="A149" s="20">
        <f t="shared" si="6"/>
        <v>146</v>
      </c>
      <c r="B149" s="14" t="s">
        <v>175</v>
      </c>
      <c r="C149" s="14" t="s">
        <v>377</v>
      </c>
      <c r="D149" s="14">
        <v>0</v>
      </c>
      <c r="E149" s="14">
        <v>0</v>
      </c>
      <c r="F149" s="31">
        <v>0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0</v>
      </c>
      <c r="Z149" s="31">
        <v>0</v>
      </c>
      <c r="AA149" s="31">
        <v>0</v>
      </c>
      <c r="AB149" s="31">
        <v>0</v>
      </c>
      <c r="AC149" s="39"/>
      <c r="AD149" s="39"/>
      <c r="AE149" s="39"/>
      <c r="AF149" s="39"/>
      <c r="AG149" s="12" t="str">
        <f t="shared" si="5"/>
        <v/>
      </c>
      <c r="AH149" s="37" t="s">
        <v>377</v>
      </c>
      <c r="AI149" s="42" t="s">
        <v>229</v>
      </c>
    </row>
    <row r="150" spans="1:35">
      <c r="A150" s="20">
        <f t="shared" si="6"/>
        <v>147</v>
      </c>
      <c r="B150" s="14" t="s">
        <v>176</v>
      </c>
      <c r="C150" s="14" t="s">
        <v>378</v>
      </c>
      <c r="D150" s="14">
        <v>0</v>
      </c>
      <c r="E150" s="14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31">
        <v>0</v>
      </c>
      <c r="AC150" s="39"/>
      <c r="AD150" s="39"/>
      <c r="AE150" s="39"/>
      <c r="AF150" s="39"/>
      <c r="AG150" s="12" t="str">
        <f t="shared" si="5"/>
        <v/>
      </c>
      <c r="AH150" s="37" t="s">
        <v>378</v>
      </c>
      <c r="AI150" s="42" t="s">
        <v>229</v>
      </c>
    </row>
    <row r="151" spans="1:35">
      <c r="A151" s="20">
        <f t="shared" si="6"/>
        <v>148</v>
      </c>
      <c r="B151" s="14" t="s">
        <v>177</v>
      </c>
      <c r="C151" s="14" t="s">
        <v>379</v>
      </c>
      <c r="D151" s="14">
        <v>0</v>
      </c>
      <c r="E151" s="14">
        <v>0</v>
      </c>
      <c r="F151" s="31">
        <v>0</v>
      </c>
      <c r="G151" s="31">
        <v>0</v>
      </c>
      <c r="H151" s="2">
        <v>1</v>
      </c>
      <c r="I151" s="31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2">
        <v>1</v>
      </c>
      <c r="S151" s="31">
        <v>0</v>
      </c>
      <c r="T151" s="31">
        <v>0</v>
      </c>
      <c r="U151" s="31">
        <v>0</v>
      </c>
      <c r="V151" s="31">
        <v>0</v>
      </c>
      <c r="W151" s="31">
        <v>0</v>
      </c>
      <c r="X151" s="31">
        <v>0</v>
      </c>
      <c r="Y151" s="31">
        <v>0</v>
      </c>
      <c r="Z151" s="31">
        <v>0</v>
      </c>
      <c r="AA151" s="31">
        <v>0</v>
      </c>
      <c r="AB151" s="31">
        <v>1</v>
      </c>
      <c r="AC151" s="39"/>
      <c r="AD151" s="39"/>
      <c r="AE151" s="39"/>
      <c r="AF151" s="39"/>
      <c r="AG151" s="12" t="str">
        <f t="shared" si="5"/>
        <v xml:space="preserve">2000, 2010, 2020, </v>
      </c>
      <c r="AH151" s="37" t="s">
        <v>379</v>
      </c>
      <c r="AI151" s="42" t="s">
        <v>229</v>
      </c>
    </row>
    <row r="152" spans="1:35">
      <c r="A152" s="20">
        <f t="shared" si="6"/>
        <v>149</v>
      </c>
      <c r="B152" s="14" t="s">
        <v>178</v>
      </c>
      <c r="C152" s="14" t="s">
        <v>380</v>
      </c>
      <c r="D152" s="14">
        <v>0</v>
      </c>
      <c r="E152" s="14">
        <v>0</v>
      </c>
      <c r="F152" s="31">
        <v>0</v>
      </c>
      <c r="G152" s="31">
        <v>0</v>
      </c>
      <c r="H152" s="32">
        <v>1</v>
      </c>
      <c r="I152" s="31">
        <v>0</v>
      </c>
      <c r="J152" s="31">
        <v>0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2">
        <v>1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0</v>
      </c>
      <c r="Z152" s="31">
        <v>0</v>
      </c>
      <c r="AA152" s="31">
        <v>0</v>
      </c>
      <c r="AB152" s="31">
        <v>1</v>
      </c>
      <c r="AC152" s="39"/>
      <c r="AD152" s="39"/>
      <c r="AE152" s="39"/>
      <c r="AF152" s="39"/>
      <c r="AG152" s="12" t="str">
        <f t="shared" si="5"/>
        <v xml:space="preserve">2000, 2010, 2020, </v>
      </c>
      <c r="AH152" s="37" t="s">
        <v>380</v>
      </c>
      <c r="AI152" s="42" t="s">
        <v>229</v>
      </c>
    </row>
    <row r="153" spans="1:35">
      <c r="A153" s="20">
        <f t="shared" si="6"/>
        <v>150</v>
      </c>
      <c r="B153" s="14" t="s">
        <v>179</v>
      </c>
      <c r="C153" s="14" t="s">
        <v>381</v>
      </c>
      <c r="D153" s="14">
        <v>0</v>
      </c>
      <c r="E153" s="14">
        <v>0</v>
      </c>
      <c r="F153" s="31">
        <v>0</v>
      </c>
      <c r="G153" s="31">
        <v>0</v>
      </c>
      <c r="H153" s="32">
        <v>1</v>
      </c>
      <c r="I153" s="31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2">
        <v>1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0</v>
      </c>
      <c r="Z153" s="31">
        <v>0</v>
      </c>
      <c r="AA153" s="31">
        <v>0</v>
      </c>
      <c r="AB153" s="31">
        <v>1</v>
      </c>
      <c r="AC153" s="39"/>
      <c r="AD153" s="39"/>
      <c r="AE153" s="39"/>
      <c r="AF153" s="39"/>
      <c r="AG153" s="12" t="str">
        <f t="shared" si="5"/>
        <v xml:space="preserve">2000, 2010, 2020, </v>
      </c>
      <c r="AH153" s="37" t="s">
        <v>381</v>
      </c>
      <c r="AI153" s="42" t="s">
        <v>229</v>
      </c>
    </row>
    <row r="154" spans="1:35">
      <c r="A154" s="20">
        <f t="shared" si="6"/>
        <v>151</v>
      </c>
      <c r="B154" s="14" t="s">
        <v>180</v>
      </c>
      <c r="C154" s="14" t="s">
        <v>382</v>
      </c>
      <c r="D154" s="14">
        <v>0</v>
      </c>
      <c r="E154" s="14">
        <v>0</v>
      </c>
      <c r="F154" s="31">
        <v>0</v>
      </c>
      <c r="G154" s="31">
        <v>0</v>
      </c>
      <c r="H154" s="31">
        <v>0</v>
      </c>
      <c r="I154" s="32">
        <v>1</v>
      </c>
      <c r="J154" s="31">
        <v>0</v>
      </c>
      <c r="K154" s="31">
        <v>0</v>
      </c>
      <c r="L154" s="31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2">
        <v>1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0</v>
      </c>
      <c r="Z154" s="31">
        <v>0</v>
      </c>
      <c r="AA154" s="31">
        <v>0</v>
      </c>
      <c r="AB154" s="31">
        <v>1</v>
      </c>
      <c r="AC154" s="39"/>
      <c r="AD154" s="39"/>
      <c r="AE154" s="39"/>
      <c r="AF154" s="39"/>
      <c r="AG154" s="12" t="str">
        <f t="shared" si="5"/>
        <v xml:space="preserve">2001, 2010, 2020, </v>
      </c>
      <c r="AH154" s="37" t="s">
        <v>382</v>
      </c>
      <c r="AI154" s="42" t="s">
        <v>229</v>
      </c>
    </row>
    <row r="155" spans="1:35">
      <c r="A155" s="20">
        <f t="shared" si="6"/>
        <v>152</v>
      </c>
      <c r="B155" s="14" t="s">
        <v>181</v>
      </c>
      <c r="C155" s="14" t="s">
        <v>383</v>
      </c>
      <c r="D155" s="14">
        <v>0</v>
      </c>
      <c r="E155" s="14">
        <v>0</v>
      </c>
      <c r="F155" s="31">
        <v>0</v>
      </c>
      <c r="G155" s="31">
        <v>0</v>
      </c>
      <c r="H155" s="31">
        <v>0</v>
      </c>
      <c r="I155" s="31">
        <v>0</v>
      </c>
      <c r="J155" s="31">
        <v>0</v>
      </c>
      <c r="K155" s="32">
        <v>1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2">
        <v>1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1</v>
      </c>
      <c r="AC155" s="39"/>
      <c r="AD155" s="39"/>
      <c r="AE155" s="39"/>
      <c r="AF155" s="39"/>
      <c r="AG155" s="12" t="str">
        <f t="shared" si="5"/>
        <v xml:space="preserve">2003, 2010, 2020, </v>
      </c>
      <c r="AH155" s="37" t="s">
        <v>383</v>
      </c>
      <c r="AI155" s="42" t="s">
        <v>229</v>
      </c>
    </row>
    <row r="156" spans="1:35">
      <c r="A156" s="20">
        <f t="shared" si="6"/>
        <v>153</v>
      </c>
      <c r="B156" s="14" t="s">
        <v>182</v>
      </c>
      <c r="C156" s="14" t="s">
        <v>384</v>
      </c>
      <c r="D156" s="14">
        <v>0</v>
      </c>
      <c r="E156" s="14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2">
        <v>1</v>
      </c>
      <c r="V156" s="31">
        <v>0</v>
      </c>
      <c r="W156" s="31">
        <v>0</v>
      </c>
      <c r="X156" s="31">
        <v>0</v>
      </c>
      <c r="Y156" s="31">
        <v>0</v>
      </c>
      <c r="Z156" s="31">
        <v>0</v>
      </c>
      <c r="AA156" s="31">
        <v>0</v>
      </c>
      <c r="AB156" s="31">
        <v>0</v>
      </c>
      <c r="AC156" s="39"/>
      <c r="AD156" s="39"/>
      <c r="AE156" s="39"/>
      <c r="AF156" s="39"/>
      <c r="AG156" s="12" t="str">
        <f t="shared" si="5"/>
        <v xml:space="preserve">2013, </v>
      </c>
      <c r="AH156" s="37" t="s">
        <v>384</v>
      </c>
      <c r="AI156" s="42" t="s">
        <v>229</v>
      </c>
    </row>
    <row r="157" spans="1:35">
      <c r="A157" s="20">
        <f t="shared" si="6"/>
        <v>154</v>
      </c>
      <c r="B157" s="14" t="s">
        <v>183</v>
      </c>
      <c r="C157" s="14" t="s">
        <v>385</v>
      </c>
      <c r="D157" s="14">
        <v>0</v>
      </c>
      <c r="E157" s="14">
        <v>0</v>
      </c>
      <c r="F157" s="31">
        <v>0</v>
      </c>
      <c r="G157" s="32">
        <v>1</v>
      </c>
      <c r="H157" s="31">
        <v>0</v>
      </c>
      <c r="I157" s="31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2">
        <v>1</v>
      </c>
      <c r="X157" s="31">
        <v>0</v>
      </c>
      <c r="Y157" s="31">
        <v>0</v>
      </c>
      <c r="Z157" s="31">
        <v>0</v>
      </c>
      <c r="AA157" s="31">
        <v>0</v>
      </c>
      <c r="AB157" s="31">
        <v>0</v>
      </c>
      <c r="AC157" s="39"/>
      <c r="AD157" s="39"/>
      <c r="AE157" s="39"/>
      <c r="AF157" s="39"/>
      <c r="AG157" s="12" t="str">
        <f t="shared" si="5"/>
        <v xml:space="preserve">1999, 2015, </v>
      </c>
      <c r="AH157" s="37" t="s">
        <v>385</v>
      </c>
      <c r="AI157" s="42" t="s">
        <v>229</v>
      </c>
    </row>
    <row r="158" spans="1:35">
      <c r="A158" s="20">
        <f t="shared" si="6"/>
        <v>155</v>
      </c>
      <c r="B158" s="14" t="s">
        <v>184</v>
      </c>
      <c r="C158" s="14" t="s">
        <v>386</v>
      </c>
      <c r="D158" s="14">
        <v>0</v>
      </c>
      <c r="E158" s="14">
        <v>0</v>
      </c>
      <c r="F158" s="31">
        <v>0</v>
      </c>
      <c r="G158" s="31">
        <v>0</v>
      </c>
      <c r="H158" s="31">
        <v>0</v>
      </c>
      <c r="I158" s="32">
        <v>1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2">
        <v>1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0</v>
      </c>
      <c r="Z158" s="31">
        <v>0</v>
      </c>
      <c r="AA158" s="31">
        <v>0</v>
      </c>
      <c r="AB158" s="31">
        <v>1</v>
      </c>
      <c r="AC158" s="39"/>
      <c r="AD158" s="39"/>
      <c r="AE158" s="39"/>
      <c r="AF158" s="39"/>
      <c r="AG158" s="12" t="str">
        <f t="shared" si="5"/>
        <v xml:space="preserve">2001, 2010, 2020, </v>
      </c>
      <c r="AH158" s="37" t="s">
        <v>386</v>
      </c>
      <c r="AI158" s="42" t="s">
        <v>387</v>
      </c>
    </row>
    <row r="159" spans="1:35">
      <c r="A159" s="20">
        <f t="shared" si="6"/>
        <v>156</v>
      </c>
      <c r="B159" s="14" t="s">
        <v>185</v>
      </c>
      <c r="C159" s="14" t="s">
        <v>388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40"/>
      <c r="AD159" s="40"/>
      <c r="AE159" s="40"/>
      <c r="AF159" s="40"/>
      <c r="AG159" s="12" t="str">
        <f t="shared" si="5"/>
        <v/>
      </c>
      <c r="AH159" s="37" t="s">
        <v>388</v>
      </c>
      <c r="AI159" s="42" t="s">
        <v>387</v>
      </c>
    </row>
    <row r="160" spans="1:35">
      <c r="A160" s="20">
        <f t="shared" si="6"/>
        <v>157</v>
      </c>
      <c r="B160" s="14" t="s">
        <v>186</v>
      </c>
      <c r="C160" s="14" t="s">
        <v>389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40"/>
      <c r="AD160" s="40"/>
      <c r="AE160" s="40"/>
      <c r="AF160" s="40"/>
      <c r="AG160" s="12" t="str">
        <f t="shared" si="5"/>
        <v/>
      </c>
      <c r="AH160" s="37" t="s">
        <v>389</v>
      </c>
      <c r="AI160" s="42" t="s">
        <v>387</v>
      </c>
    </row>
    <row r="161" spans="1:35">
      <c r="A161" s="20">
        <f t="shared" si="6"/>
        <v>158</v>
      </c>
      <c r="B161" s="14" t="s">
        <v>187</v>
      </c>
      <c r="C161" s="14" t="s">
        <v>390</v>
      </c>
      <c r="D161" s="14">
        <v>0</v>
      </c>
      <c r="E161" s="14">
        <v>0</v>
      </c>
      <c r="F161" s="31">
        <v>0</v>
      </c>
      <c r="G161" s="31">
        <v>0</v>
      </c>
      <c r="H161" s="31">
        <v>0</v>
      </c>
      <c r="I161" s="32">
        <v>1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2">
        <v>1</v>
      </c>
      <c r="S161" s="31">
        <v>0</v>
      </c>
      <c r="T161" s="31">
        <v>0</v>
      </c>
      <c r="U161" s="31">
        <v>0</v>
      </c>
      <c r="V161" s="31">
        <v>0</v>
      </c>
      <c r="W161" s="32">
        <v>1</v>
      </c>
      <c r="X161" s="31">
        <v>0</v>
      </c>
      <c r="Y161" s="31">
        <v>0</v>
      </c>
      <c r="Z161" s="31">
        <v>0</v>
      </c>
      <c r="AA161" s="31">
        <v>0</v>
      </c>
      <c r="AB161" s="31">
        <v>0</v>
      </c>
      <c r="AC161" s="39"/>
      <c r="AD161" s="39"/>
      <c r="AE161" s="39"/>
      <c r="AF161" s="39"/>
      <c r="AG161" s="12" t="str">
        <f t="shared" si="5"/>
        <v xml:space="preserve">2001, 2010, 2015, </v>
      </c>
      <c r="AH161" s="37" t="s">
        <v>390</v>
      </c>
      <c r="AI161" s="42" t="s">
        <v>387</v>
      </c>
    </row>
    <row r="162" spans="1:35">
      <c r="A162" s="20">
        <f t="shared" si="6"/>
        <v>159</v>
      </c>
      <c r="B162" s="14" t="s">
        <v>188</v>
      </c>
      <c r="C162" s="14" t="s">
        <v>391</v>
      </c>
      <c r="D162" s="14">
        <v>0</v>
      </c>
      <c r="E162" s="14">
        <v>0</v>
      </c>
      <c r="F162" s="31">
        <v>0</v>
      </c>
      <c r="G162" s="32">
        <v>1</v>
      </c>
      <c r="H162" s="31">
        <v>0</v>
      </c>
      <c r="I162" s="31">
        <v>0</v>
      </c>
      <c r="J162" s="31">
        <v>0</v>
      </c>
      <c r="K162" s="31">
        <v>0</v>
      </c>
      <c r="L162" s="31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2">
        <v>1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1</v>
      </c>
      <c r="AC162" s="39"/>
      <c r="AD162" s="39"/>
      <c r="AE162" s="39"/>
      <c r="AF162" s="39"/>
      <c r="AG162" s="12" t="str">
        <f t="shared" si="5"/>
        <v xml:space="preserve">1999, 2010, 2020, </v>
      </c>
      <c r="AH162" s="37" t="s">
        <v>391</v>
      </c>
      <c r="AI162" s="42" t="s">
        <v>387</v>
      </c>
    </row>
    <row r="163" spans="1:35">
      <c r="A163" s="20">
        <f t="shared" si="6"/>
        <v>160</v>
      </c>
      <c r="B163" s="14" t="s">
        <v>189</v>
      </c>
      <c r="C163" s="14" t="s">
        <v>392</v>
      </c>
      <c r="D163" s="14">
        <v>0</v>
      </c>
      <c r="E163" s="14">
        <v>0</v>
      </c>
      <c r="F163" s="31">
        <v>0</v>
      </c>
      <c r="G163" s="32">
        <v>1</v>
      </c>
      <c r="H163" s="31">
        <v>0</v>
      </c>
      <c r="I163" s="31">
        <v>0</v>
      </c>
      <c r="J163" s="31">
        <v>0</v>
      </c>
      <c r="K163" s="31">
        <v>1</v>
      </c>
      <c r="L163" s="31">
        <v>0</v>
      </c>
      <c r="M163" s="31">
        <v>1</v>
      </c>
      <c r="N163" s="31">
        <v>0</v>
      </c>
      <c r="O163" s="31">
        <v>1</v>
      </c>
      <c r="P163" s="31">
        <v>0</v>
      </c>
      <c r="Q163" s="31">
        <v>0</v>
      </c>
      <c r="R163" s="32">
        <v>1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1</v>
      </c>
      <c r="Y163" s="31">
        <v>0</v>
      </c>
      <c r="Z163" s="31">
        <v>0</v>
      </c>
      <c r="AA163" s="31">
        <v>0</v>
      </c>
      <c r="AB163" s="31">
        <v>1</v>
      </c>
      <c r="AC163" s="39"/>
      <c r="AD163" s="39"/>
      <c r="AE163" s="39"/>
      <c r="AF163" s="39"/>
      <c r="AG163" s="12" t="str">
        <f t="shared" si="5"/>
        <v xml:space="preserve">1999, 2003, 2005, 2007, 2010, 2016, 2020, </v>
      </c>
      <c r="AH163" s="37" t="s">
        <v>392</v>
      </c>
      <c r="AI163" s="42" t="s">
        <v>387</v>
      </c>
    </row>
    <row r="164" spans="1:35">
      <c r="A164" s="20">
        <f t="shared" si="6"/>
        <v>161</v>
      </c>
      <c r="B164" s="14" t="s">
        <v>190</v>
      </c>
      <c r="C164" s="14" t="s">
        <v>393</v>
      </c>
      <c r="D164" s="14">
        <v>0</v>
      </c>
      <c r="E164" s="14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0</v>
      </c>
      <c r="AC164" s="39"/>
      <c r="AD164" s="39"/>
      <c r="AE164" s="39"/>
      <c r="AF164" s="39"/>
      <c r="AG164" s="12" t="str">
        <f t="shared" si="5"/>
        <v/>
      </c>
      <c r="AH164" s="37" t="s">
        <v>393</v>
      </c>
      <c r="AI164" s="42" t="s">
        <v>387</v>
      </c>
    </row>
    <row r="165" spans="1:35">
      <c r="A165" s="20">
        <f t="shared" si="6"/>
        <v>162</v>
      </c>
      <c r="B165" s="14" t="s">
        <v>191</v>
      </c>
      <c r="C165" s="14" t="s">
        <v>394</v>
      </c>
      <c r="D165" s="14">
        <v>0</v>
      </c>
      <c r="E165" s="14">
        <v>0</v>
      </c>
      <c r="F165" s="31">
        <v>0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1">
        <v>0</v>
      </c>
      <c r="AC165" s="39"/>
      <c r="AD165" s="39"/>
      <c r="AE165" s="39"/>
      <c r="AF165" s="39"/>
      <c r="AG165" s="12" t="str">
        <f t="shared" si="5"/>
        <v/>
      </c>
      <c r="AH165" s="37" t="s">
        <v>394</v>
      </c>
      <c r="AI165" s="42" t="s">
        <v>387</v>
      </c>
    </row>
    <row r="166" spans="1:35">
      <c r="A166" s="20">
        <f t="shared" si="6"/>
        <v>163</v>
      </c>
      <c r="B166" s="14" t="s">
        <v>192</v>
      </c>
      <c r="C166" s="14" t="s">
        <v>395</v>
      </c>
      <c r="D166" s="14">
        <v>0</v>
      </c>
      <c r="E166" s="14">
        <v>0</v>
      </c>
      <c r="F166" s="31">
        <v>0</v>
      </c>
      <c r="G166" s="31">
        <v>0</v>
      </c>
      <c r="H166" s="31">
        <v>0</v>
      </c>
      <c r="I166" s="32">
        <v>1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2">
        <v>1</v>
      </c>
      <c r="T166" s="31">
        <v>0</v>
      </c>
      <c r="U166" s="31">
        <v>0</v>
      </c>
      <c r="V166" s="31">
        <v>0</v>
      </c>
      <c r="W166" s="31">
        <v>0</v>
      </c>
      <c r="X166" s="32">
        <v>1</v>
      </c>
      <c r="Y166" s="31">
        <v>0</v>
      </c>
      <c r="Z166" s="31">
        <v>0</v>
      </c>
      <c r="AA166" s="31">
        <v>0</v>
      </c>
      <c r="AB166" s="31">
        <v>0</v>
      </c>
      <c r="AC166" s="39">
        <v>1</v>
      </c>
      <c r="AD166" s="39"/>
      <c r="AE166" s="39"/>
      <c r="AF166" s="39"/>
      <c r="AG166" s="12" t="str">
        <f t="shared" si="5"/>
        <v xml:space="preserve">2001, 2011, 2016, 2021, </v>
      </c>
      <c r="AH166" s="37" t="s">
        <v>395</v>
      </c>
      <c r="AI166" s="42" t="s">
        <v>387</v>
      </c>
    </row>
    <row r="167" spans="1:35">
      <c r="A167" s="20">
        <f t="shared" si="6"/>
        <v>164</v>
      </c>
      <c r="B167" s="14" t="s">
        <v>193</v>
      </c>
      <c r="C167" s="14" t="s">
        <v>396</v>
      </c>
      <c r="D167" s="14">
        <v>0</v>
      </c>
      <c r="E167" s="14">
        <v>0</v>
      </c>
      <c r="F167" s="31">
        <v>0</v>
      </c>
      <c r="G167" s="31">
        <v>0</v>
      </c>
      <c r="H167" s="32">
        <v>1</v>
      </c>
      <c r="I167" s="31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2">
        <v>1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Z167" s="31">
        <v>0</v>
      </c>
      <c r="AA167" s="31">
        <v>0</v>
      </c>
      <c r="AB167" s="31">
        <v>1</v>
      </c>
      <c r="AC167" s="39"/>
      <c r="AD167" s="39"/>
      <c r="AE167" s="39"/>
      <c r="AF167" s="39"/>
      <c r="AG167" s="12" t="str">
        <f t="shared" si="5"/>
        <v xml:space="preserve">2000, 2010, 2020, </v>
      </c>
      <c r="AH167" s="37" t="s">
        <v>396</v>
      </c>
      <c r="AI167" s="42" t="s">
        <v>387</v>
      </c>
    </row>
    <row r="168" spans="1:35">
      <c r="A168" s="20">
        <f t="shared" si="6"/>
        <v>165</v>
      </c>
      <c r="B168" s="14" t="s">
        <v>194</v>
      </c>
      <c r="C168" s="14" t="s">
        <v>397</v>
      </c>
      <c r="D168" s="14">
        <v>0</v>
      </c>
      <c r="E168" s="14">
        <v>0</v>
      </c>
      <c r="F168" s="31">
        <v>0</v>
      </c>
      <c r="G168" s="31">
        <v>0</v>
      </c>
      <c r="H168" s="31">
        <v>0</v>
      </c>
      <c r="I168" s="31">
        <v>0</v>
      </c>
      <c r="J168" s="31">
        <v>0</v>
      </c>
      <c r="K168" s="32">
        <v>1</v>
      </c>
      <c r="L168" s="31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2">
        <v>1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0</v>
      </c>
      <c r="Z168" s="31">
        <v>0</v>
      </c>
      <c r="AA168" s="31">
        <v>0</v>
      </c>
      <c r="AB168" s="31">
        <v>1</v>
      </c>
      <c r="AC168" s="39"/>
      <c r="AD168" s="39"/>
      <c r="AE168" s="39"/>
      <c r="AF168" s="39"/>
      <c r="AG168" s="12" t="str">
        <f t="shared" si="5"/>
        <v xml:space="preserve">2003, 2010, 2020, </v>
      </c>
      <c r="AH168" s="37" t="s">
        <v>397</v>
      </c>
      <c r="AI168" s="42" t="s">
        <v>387</v>
      </c>
    </row>
    <row r="169" spans="1:35">
      <c r="A169" s="20">
        <f t="shared" si="6"/>
        <v>166</v>
      </c>
      <c r="B169" s="14" t="s">
        <v>195</v>
      </c>
      <c r="C169" s="14" t="s">
        <v>398</v>
      </c>
      <c r="D169" s="14">
        <v>0</v>
      </c>
      <c r="E169" s="14">
        <v>0</v>
      </c>
      <c r="F169" s="31">
        <v>0</v>
      </c>
      <c r="G169" s="32">
        <v>1</v>
      </c>
      <c r="H169" s="31">
        <v>0</v>
      </c>
      <c r="I169" s="31">
        <v>0</v>
      </c>
      <c r="J169" s="31">
        <v>0</v>
      </c>
      <c r="K169" s="31">
        <v>0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2">
        <v>1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1</v>
      </c>
      <c r="AC169" s="39"/>
      <c r="AD169" s="39"/>
      <c r="AE169" s="39"/>
      <c r="AF169" s="39"/>
      <c r="AG169" s="12" t="str">
        <f t="shared" si="5"/>
        <v xml:space="preserve">1999, 2010, 2020, </v>
      </c>
      <c r="AH169" s="37" t="s">
        <v>398</v>
      </c>
      <c r="AI169" s="42" t="s">
        <v>387</v>
      </c>
    </row>
    <row r="170" spans="1:35">
      <c r="A170" s="20">
        <f t="shared" si="6"/>
        <v>167</v>
      </c>
      <c r="B170" s="14" t="s">
        <v>196</v>
      </c>
      <c r="C170" s="14" t="s">
        <v>399</v>
      </c>
      <c r="D170" s="14">
        <v>0</v>
      </c>
      <c r="E170" s="14">
        <v>0</v>
      </c>
      <c r="F170" s="31">
        <v>0</v>
      </c>
      <c r="G170" s="32">
        <v>1</v>
      </c>
      <c r="H170" s="31">
        <v>0</v>
      </c>
      <c r="I170" s="31">
        <v>0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2">
        <v>1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0</v>
      </c>
      <c r="Z170" s="31">
        <v>0</v>
      </c>
      <c r="AA170" s="31">
        <v>0</v>
      </c>
      <c r="AB170" s="31">
        <v>1</v>
      </c>
      <c r="AC170" s="39"/>
      <c r="AD170" s="39"/>
      <c r="AE170" s="39"/>
      <c r="AF170" s="39"/>
      <c r="AG170" s="12" t="str">
        <f t="shared" si="5"/>
        <v xml:space="preserve">1999, 2010, 2020, </v>
      </c>
      <c r="AH170" s="37" t="s">
        <v>399</v>
      </c>
      <c r="AI170" s="42" t="s">
        <v>387</v>
      </c>
    </row>
    <row r="171" spans="1:35">
      <c r="A171" s="20">
        <f t="shared" si="6"/>
        <v>168</v>
      </c>
      <c r="B171" s="14" t="s">
        <v>197</v>
      </c>
      <c r="C171" s="14" t="s">
        <v>400</v>
      </c>
      <c r="D171" s="14">
        <v>0</v>
      </c>
      <c r="E171" s="14">
        <v>0</v>
      </c>
      <c r="F171" s="31">
        <v>0</v>
      </c>
      <c r="G171" s="32">
        <v>1</v>
      </c>
      <c r="H171" s="31">
        <v>0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2">
        <v>1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1">
        <v>1</v>
      </c>
      <c r="AC171" s="39"/>
      <c r="AD171" s="39"/>
      <c r="AE171" s="39"/>
      <c r="AF171" s="39"/>
      <c r="AG171" s="12" t="str">
        <f t="shared" si="5"/>
        <v xml:space="preserve">1999, 2009, 2020, </v>
      </c>
      <c r="AH171" s="37" t="s">
        <v>400</v>
      </c>
      <c r="AI171" s="42" t="s">
        <v>387</v>
      </c>
    </row>
    <row r="172" spans="1:35">
      <c r="A172" s="20">
        <f t="shared" si="6"/>
        <v>169</v>
      </c>
      <c r="B172" s="14" t="s">
        <v>198</v>
      </c>
      <c r="C172" s="14" t="s">
        <v>401</v>
      </c>
      <c r="D172" s="14">
        <v>0</v>
      </c>
      <c r="E172" s="14">
        <v>0</v>
      </c>
      <c r="F172" s="31">
        <v>0</v>
      </c>
      <c r="G172" s="31">
        <v>0</v>
      </c>
      <c r="H172" s="31">
        <v>0</v>
      </c>
      <c r="I172" s="32">
        <v>1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2">
        <v>1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0</v>
      </c>
      <c r="Z172" s="31">
        <v>0</v>
      </c>
      <c r="AA172" s="31">
        <v>0</v>
      </c>
      <c r="AB172" s="31">
        <v>1</v>
      </c>
      <c r="AC172" s="39"/>
      <c r="AD172" s="39"/>
      <c r="AE172" s="39"/>
      <c r="AF172" s="39"/>
      <c r="AG172" s="12" t="str">
        <f t="shared" si="5"/>
        <v xml:space="preserve">2001, 2010, 2020, </v>
      </c>
      <c r="AH172" s="37" t="s">
        <v>401</v>
      </c>
      <c r="AI172" s="42" t="s">
        <v>387</v>
      </c>
    </row>
    <row r="173" spans="1:35">
      <c r="A173" s="20">
        <f t="shared" si="6"/>
        <v>170</v>
      </c>
      <c r="B173" s="14" t="s">
        <v>199</v>
      </c>
      <c r="C173" s="14" t="s">
        <v>402</v>
      </c>
      <c r="D173" s="14">
        <v>0</v>
      </c>
      <c r="E173" s="14">
        <v>0</v>
      </c>
      <c r="F173" s="31">
        <v>0</v>
      </c>
      <c r="G173" s="32">
        <v>1</v>
      </c>
      <c r="H173" s="31">
        <v>0</v>
      </c>
      <c r="I173" s="31">
        <v>0</v>
      </c>
      <c r="J173" s="31">
        <v>0</v>
      </c>
      <c r="K173" s="31">
        <v>0</v>
      </c>
      <c r="L173" s="31">
        <v>0</v>
      </c>
      <c r="M173" s="31">
        <v>0</v>
      </c>
      <c r="N173" s="31">
        <v>0</v>
      </c>
      <c r="O173" s="31">
        <v>0</v>
      </c>
      <c r="P173" s="31">
        <v>0</v>
      </c>
      <c r="Q173" s="31">
        <v>0</v>
      </c>
      <c r="R173" s="32">
        <v>1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0</v>
      </c>
      <c r="Z173" s="31">
        <v>0</v>
      </c>
      <c r="AA173" s="31">
        <v>0</v>
      </c>
      <c r="AB173" s="31">
        <v>1</v>
      </c>
      <c r="AC173" s="39"/>
      <c r="AD173" s="39"/>
      <c r="AE173" s="39"/>
      <c r="AF173" s="39"/>
      <c r="AG173" s="12" t="str">
        <f t="shared" si="5"/>
        <v xml:space="preserve">1999, 2010, 2020, </v>
      </c>
      <c r="AH173" s="37" t="s">
        <v>402</v>
      </c>
      <c r="AI173" s="42" t="s">
        <v>387</v>
      </c>
    </row>
    <row r="174" spans="1:35">
      <c r="A174" s="20">
        <f t="shared" si="6"/>
        <v>171</v>
      </c>
      <c r="B174" s="14" t="s">
        <v>200</v>
      </c>
      <c r="C174" s="14" t="s">
        <v>403</v>
      </c>
      <c r="D174" s="14">
        <v>0</v>
      </c>
      <c r="E174" s="14">
        <v>0</v>
      </c>
      <c r="F174" s="31">
        <v>0</v>
      </c>
      <c r="G174" s="32">
        <v>1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2">
        <v>1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1</v>
      </c>
      <c r="AC174" s="39"/>
      <c r="AD174" s="39"/>
      <c r="AE174" s="39"/>
      <c r="AF174" s="39"/>
      <c r="AG174" s="12" t="str">
        <f t="shared" si="5"/>
        <v xml:space="preserve">1999, 2010, 2020, </v>
      </c>
      <c r="AH174" s="37" t="s">
        <v>403</v>
      </c>
      <c r="AI174" s="42" t="s">
        <v>387</v>
      </c>
    </row>
    <row r="175" spans="1:35">
      <c r="A175" s="20">
        <f t="shared" si="6"/>
        <v>172</v>
      </c>
      <c r="B175" s="14" t="s">
        <v>201</v>
      </c>
      <c r="C175" s="14" t="s">
        <v>404</v>
      </c>
      <c r="D175" s="14">
        <v>0</v>
      </c>
      <c r="E175" s="14">
        <v>0</v>
      </c>
      <c r="F175" s="31">
        <v>0</v>
      </c>
      <c r="G175" s="32">
        <v>1</v>
      </c>
      <c r="H175" s="31">
        <v>0</v>
      </c>
      <c r="I175" s="31">
        <v>0</v>
      </c>
      <c r="J175" s="31">
        <v>0</v>
      </c>
      <c r="K175" s="31">
        <v>0</v>
      </c>
      <c r="L175" s="31">
        <v>0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2">
        <v>1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0</v>
      </c>
      <c r="AC175" s="39">
        <v>1</v>
      </c>
      <c r="AD175" s="39"/>
      <c r="AE175" s="39"/>
      <c r="AF175" s="39"/>
      <c r="AG175" s="12" t="str">
        <f t="shared" si="5"/>
        <v xml:space="preserve">1999, 2010, 2021, </v>
      </c>
      <c r="AH175" s="37" t="s">
        <v>404</v>
      </c>
      <c r="AI175" s="42" t="s">
        <v>387</v>
      </c>
    </row>
    <row r="176" spans="1:35">
      <c r="A176" s="20">
        <f t="shared" si="6"/>
        <v>173</v>
      </c>
      <c r="B176" s="14" t="s">
        <v>202</v>
      </c>
      <c r="C176" s="14" t="s">
        <v>405</v>
      </c>
      <c r="D176" s="14">
        <v>0</v>
      </c>
      <c r="E176" s="14">
        <v>0</v>
      </c>
      <c r="F176" s="31">
        <v>0</v>
      </c>
      <c r="G176" s="31">
        <v>0</v>
      </c>
      <c r="H176" s="32">
        <v>1</v>
      </c>
      <c r="I176" s="31">
        <v>0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2">
        <v>1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1</v>
      </c>
      <c r="AC176" s="39"/>
      <c r="AD176" s="39"/>
      <c r="AE176" s="39"/>
      <c r="AF176" s="39">
        <v>1</v>
      </c>
      <c r="AG176" s="12" t="str">
        <f t="shared" si="5"/>
        <v xml:space="preserve">2000, 2010, 2020, 2024, </v>
      </c>
      <c r="AH176" s="37" t="s">
        <v>405</v>
      </c>
      <c r="AI176" s="42" t="s">
        <v>387</v>
      </c>
    </row>
    <row r="177" spans="1:35">
      <c r="A177" s="20">
        <f t="shared" si="6"/>
        <v>174</v>
      </c>
      <c r="B177" s="14" t="s">
        <v>203</v>
      </c>
      <c r="C177" s="14" t="s">
        <v>406</v>
      </c>
      <c r="D177" s="14">
        <v>0</v>
      </c>
      <c r="E177" s="14">
        <v>0</v>
      </c>
      <c r="F177" s="31">
        <v>0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2">
        <v>1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1</v>
      </c>
      <c r="AC177" s="39"/>
      <c r="AD177" s="39"/>
      <c r="AE177" s="39"/>
      <c r="AF177" s="39"/>
      <c r="AG177" s="12" t="str">
        <f t="shared" si="5"/>
        <v xml:space="preserve">2010, 2020, </v>
      </c>
      <c r="AH177" s="37" t="s">
        <v>406</v>
      </c>
      <c r="AI177" s="42" t="s">
        <v>387</v>
      </c>
    </row>
    <row r="178" spans="1:35">
      <c r="A178" s="20">
        <f t="shared" si="6"/>
        <v>175</v>
      </c>
      <c r="B178" s="14" t="s">
        <v>204</v>
      </c>
      <c r="C178" s="14" t="s">
        <v>407</v>
      </c>
      <c r="D178" s="14">
        <v>0</v>
      </c>
      <c r="E178" s="14">
        <v>0</v>
      </c>
      <c r="F178" s="31">
        <v>0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3">
        <v>1</v>
      </c>
      <c r="Z178" s="31">
        <v>0</v>
      </c>
      <c r="AA178" s="31">
        <v>0</v>
      </c>
      <c r="AB178" s="31">
        <v>0</v>
      </c>
      <c r="AC178" s="39"/>
      <c r="AD178" s="39"/>
      <c r="AE178" s="39"/>
      <c r="AF178" s="39"/>
      <c r="AG178" s="12" t="str">
        <f t="shared" si="5"/>
        <v xml:space="preserve">2017, </v>
      </c>
      <c r="AH178" s="37" t="s">
        <v>407</v>
      </c>
      <c r="AI178" s="42" t="s">
        <v>387</v>
      </c>
    </row>
    <row r="179" spans="1:35">
      <c r="A179" s="20">
        <f t="shared" si="6"/>
        <v>176</v>
      </c>
      <c r="B179" s="14" t="s">
        <v>205</v>
      </c>
      <c r="C179" s="14" t="s">
        <v>408</v>
      </c>
      <c r="D179" s="14">
        <v>0</v>
      </c>
      <c r="E179" s="14">
        <v>0</v>
      </c>
      <c r="F179" s="31">
        <v>0</v>
      </c>
      <c r="G179" s="31">
        <v>0</v>
      </c>
      <c r="H179" s="32">
        <v>1</v>
      </c>
      <c r="I179" s="31">
        <v>0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2">
        <v>1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1</v>
      </c>
      <c r="AC179" s="39"/>
      <c r="AD179" s="39"/>
      <c r="AE179" s="39"/>
      <c r="AF179" s="39"/>
      <c r="AG179" s="12" t="str">
        <f t="shared" si="5"/>
        <v xml:space="preserve">2000, 2010, 2020, </v>
      </c>
      <c r="AH179" s="37" t="s">
        <v>408</v>
      </c>
      <c r="AI179" s="42" t="s">
        <v>387</v>
      </c>
    </row>
    <row r="180" spans="1:35">
      <c r="A180" s="20">
        <f t="shared" si="6"/>
        <v>177</v>
      </c>
      <c r="B180" s="14" t="s">
        <v>206</v>
      </c>
      <c r="C180" s="14" t="s">
        <v>409</v>
      </c>
      <c r="D180" s="14">
        <v>0</v>
      </c>
      <c r="E180" s="14">
        <v>0</v>
      </c>
      <c r="F180" s="31">
        <v>0</v>
      </c>
      <c r="G180" s="31">
        <v>0</v>
      </c>
      <c r="H180" s="32">
        <v>1</v>
      </c>
      <c r="I180" s="31">
        <v>0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2">
        <v>1</v>
      </c>
      <c r="S180" s="31">
        <v>0</v>
      </c>
      <c r="T180" s="31">
        <v>0</v>
      </c>
      <c r="U180" s="31">
        <v>0</v>
      </c>
      <c r="V180" s="31">
        <v>0</v>
      </c>
      <c r="W180" s="32">
        <v>1</v>
      </c>
      <c r="X180" s="31">
        <v>0</v>
      </c>
      <c r="Y180" s="31">
        <v>0</v>
      </c>
      <c r="Z180" s="31">
        <v>0</v>
      </c>
      <c r="AA180" s="31">
        <v>0</v>
      </c>
      <c r="AB180" s="31">
        <v>1</v>
      </c>
      <c r="AC180" s="39"/>
      <c r="AD180" s="39"/>
      <c r="AE180" s="39"/>
      <c r="AF180" s="39"/>
      <c r="AG180" s="12" t="str">
        <f t="shared" si="5"/>
        <v xml:space="preserve">2000, 2010, 2015, 2020, </v>
      </c>
      <c r="AH180" s="37" t="s">
        <v>409</v>
      </c>
      <c r="AI180" s="42" t="s">
        <v>387</v>
      </c>
    </row>
    <row r="181" spans="1:35">
      <c r="A181" s="20">
        <f t="shared" si="6"/>
        <v>178</v>
      </c>
      <c r="B181" s="14" t="s">
        <v>207</v>
      </c>
      <c r="C181" s="14" t="s">
        <v>410</v>
      </c>
      <c r="D181" s="14">
        <v>0</v>
      </c>
      <c r="E181" s="14">
        <v>0</v>
      </c>
      <c r="F181" s="31">
        <v>0</v>
      </c>
      <c r="G181" s="31">
        <v>0</v>
      </c>
      <c r="H181" s="32">
        <v>1</v>
      </c>
      <c r="I181" s="31">
        <v>0</v>
      </c>
      <c r="J181" s="31">
        <v>0</v>
      </c>
      <c r="K181" s="31">
        <v>0</v>
      </c>
      <c r="L181" s="31">
        <v>0</v>
      </c>
      <c r="M181" s="31">
        <v>0</v>
      </c>
      <c r="N181" s="31">
        <v>0</v>
      </c>
      <c r="O181" s="31">
        <v>0</v>
      </c>
      <c r="P181" s="31">
        <v>0</v>
      </c>
      <c r="Q181" s="31">
        <v>0</v>
      </c>
      <c r="R181" s="32">
        <v>1</v>
      </c>
      <c r="S181" s="31">
        <v>0</v>
      </c>
      <c r="T181" s="31">
        <v>0</v>
      </c>
      <c r="U181" s="31">
        <v>0</v>
      </c>
      <c r="V181" s="31">
        <v>0</v>
      </c>
      <c r="W181" s="31">
        <v>0</v>
      </c>
      <c r="X181" s="31">
        <v>0</v>
      </c>
      <c r="Y181" s="31">
        <v>0</v>
      </c>
      <c r="Z181" s="31">
        <v>0</v>
      </c>
      <c r="AA181" s="31">
        <v>0</v>
      </c>
      <c r="AB181" s="31">
        <v>1</v>
      </c>
      <c r="AC181" s="39"/>
      <c r="AD181" s="39"/>
      <c r="AE181" s="39"/>
      <c r="AF181" s="39"/>
      <c r="AG181" s="12" t="str">
        <f t="shared" si="5"/>
        <v xml:space="preserve">2000, 2010, 2020, </v>
      </c>
      <c r="AH181" s="37" t="s">
        <v>410</v>
      </c>
      <c r="AI181" s="42" t="s">
        <v>387</v>
      </c>
    </row>
    <row r="182" spans="1:35">
      <c r="A182" s="20">
        <f t="shared" si="6"/>
        <v>179</v>
      </c>
      <c r="B182" s="14" t="s">
        <v>208</v>
      </c>
      <c r="C182" s="14" t="s">
        <v>411</v>
      </c>
      <c r="D182" s="14">
        <v>0</v>
      </c>
      <c r="E182" s="14">
        <v>0</v>
      </c>
      <c r="F182" s="31">
        <v>0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>
        <v>0</v>
      </c>
      <c r="N182" s="31">
        <v>0</v>
      </c>
      <c r="O182" s="31">
        <v>0</v>
      </c>
      <c r="P182" s="31">
        <v>0</v>
      </c>
      <c r="Q182" s="31">
        <v>0</v>
      </c>
      <c r="R182" s="31">
        <v>0</v>
      </c>
      <c r="S182" s="31">
        <v>0</v>
      </c>
      <c r="T182" s="31">
        <v>0</v>
      </c>
      <c r="U182" s="31">
        <v>0</v>
      </c>
      <c r="V182" s="31">
        <v>0</v>
      </c>
      <c r="W182" s="31">
        <v>0</v>
      </c>
      <c r="X182" s="31">
        <v>0</v>
      </c>
      <c r="Y182" s="31">
        <v>0</v>
      </c>
      <c r="Z182" s="31">
        <v>0</v>
      </c>
      <c r="AA182" s="31">
        <v>0</v>
      </c>
      <c r="AB182" s="31">
        <v>0</v>
      </c>
      <c r="AC182" s="39"/>
      <c r="AD182" s="39"/>
      <c r="AE182" s="39"/>
      <c r="AF182" s="39"/>
      <c r="AG182" s="12" t="str">
        <f t="shared" si="5"/>
        <v/>
      </c>
      <c r="AH182" s="37" t="s">
        <v>411</v>
      </c>
      <c r="AI182" s="42" t="s">
        <v>387</v>
      </c>
    </row>
    <row r="183" spans="1:35">
      <c r="A183" s="20">
        <f t="shared" si="6"/>
        <v>180</v>
      </c>
      <c r="B183" s="14" t="s">
        <v>209</v>
      </c>
      <c r="C183" s="14" t="s">
        <v>412</v>
      </c>
      <c r="D183" s="14">
        <v>0</v>
      </c>
      <c r="E183" s="14">
        <v>0</v>
      </c>
      <c r="F183" s="31">
        <v>0</v>
      </c>
      <c r="G183" s="32">
        <v>1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>
        <v>0</v>
      </c>
      <c r="N183" s="31">
        <v>0</v>
      </c>
      <c r="O183" s="31">
        <v>0</v>
      </c>
      <c r="P183" s="31">
        <v>0</v>
      </c>
      <c r="Q183" s="31">
        <v>0</v>
      </c>
      <c r="R183" s="32">
        <v>1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0</v>
      </c>
      <c r="Z183" s="31">
        <v>0</v>
      </c>
      <c r="AA183" s="31">
        <v>0</v>
      </c>
      <c r="AB183" s="31">
        <v>1</v>
      </c>
      <c r="AC183" s="39"/>
      <c r="AD183" s="39"/>
      <c r="AE183" s="39"/>
      <c r="AF183" s="39"/>
      <c r="AG183" s="12" t="str">
        <f t="shared" si="5"/>
        <v xml:space="preserve">1999, 2010, 2020, </v>
      </c>
      <c r="AH183" s="37" t="s">
        <v>412</v>
      </c>
      <c r="AI183" s="42" t="s">
        <v>387</v>
      </c>
    </row>
    <row r="184" spans="1:35">
      <c r="A184" s="20">
        <f t="shared" si="6"/>
        <v>181</v>
      </c>
      <c r="B184" s="14" t="s">
        <v>210</v>
      </c>
      <c r="C184" s="14" t="s">
        <v>413</v>
      </c>
      <c r="D184" s="14">
        <v>0</v>
      </c>
      <c r="E184" s="14">
        <v>0</v>
      </c>
      <c r="F184" s="31">
        <v>0</v>
      </c>
      <c r="G184" s="31">
        <v>0</v>
      </c>
      <c r="H184" s="31">
        <v>0</v>
      </c>
      <c r="I184" s="32">
        <v>1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2">
        <v>1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1</v>
      </c>
      <c r="AC184" s="39"/>
      <c r="AD184" s="39"/>
      <c r="AE184" s="39"/>
      <c r="AF184" s="39"/>
      <c r="AG184" s="12" t="str">
        <f t="shared" si="5"/>
        <v xml:space="preserve">2001, 2010, 2020, </v>
      </c>
      <c r="AH184" s="37" t="s">
        <v>413</v>
      </c>
      <c r="AI184" s="42" t="s">
        <v>387</v>
      </c>
    </row>
    <row r="185" spans="1:35">
      <c r="A185" s="20">
        <f t="shared" si="6"/>
        <v>182</v>
      </c>
      <c r="B185" s="14" t="s">
        <v>211</v>
      </c>
      <c r="C185" s="14" t="s">
        <v>414</v>
      </c>
      <c r="D185" s="14">
        <v>0</v>
      </c>
      <c r="E185" s="14">
        <v>0</v>
      </c>
      <c r="F185" s="31">
        <v>0</v>
      </c>
      <c r="G185" s="32">
        <v>1</v>
      </c>
      <c r="H185" s="31">
        <v>0</v>
      </c>
      <c r="I185" s="31">
        <v>0</v>
      </c>
      <c r="J185" s="31">
        <v>0</v>
      </c>
      <c r="K185" s="31">
        <v>0</v>
      </c>
      <c r="L185" s="31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2">
        <v>1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1</v>
      </c>
      <c r="AC185" s="39"/>
      <c r="AD185" s="39"/>
      <c r="AE185" s="39"/>
      <c r="AF185" s="39"/>
      <c r="AG185" s="12" t="str">
        <f t="shared" si="5"/>
        <v xml:space="preserve">1999, 2010, 2020, </v>
      </c>
      <c r="AH185" s="37" t="s">
        <v>414</v>
      </c>
      <c r="AI185" s="42" t="s">
        <v>387</v>
      </c>
    </row>
    <row r="186" spans="1:35">
      <c r="A186" s="20">
        <f t="shared" si="6"/>
        <v>183</v>
      </c>
      <c r="B186" s="14" t="s">
        <v>212</v>
      </c>
      <c r="C186" s="14" t="s">
        <v>415</v>
      </c>
      <c r="D186" s="14">
        <v>0</v>
      </c>
      <c r="E186" s="14">
        <v>0</v>
      </c>
      <c r="F186" s="31">
        <v>0</v>
      </c>
      <c r="G186" s="32">
        <v>1</v>
      </c>
      <c r="H186" s="31">
        <v>0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2">
        <v>1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1</v>
      </c>
      <c r="AC186" s="39"/>
      <c r="AD186" s="39"/>
      <c r="AE186" s="39"/>
      <c r="AF186" s="39"/>
      <c r="AG186" s="12" t="str">
        <f t="shared" si="5"/>
        <v xml:space="preserve">1999, 2010, 2020, </v>
      </c>
      <c r="AH186" s="37" t="s">
        <v>415</v>
      </c>
      <c r="AI186" s="42" t="s">
        <v>387</v>
      </c>
    </row>
    <row r="187" spans="1:35">
      <c r="A187" s="20">
        <f t="shared" si="6"/>
        <v>184</v>
      </c>
      <c r="B187" s="14" t="s">
        <v>213</v>
      </c>
      <c r="C187" s="14" t="s">
        <v>416</v>
      </c>
      <c r="D187" s="14">
        <v>0</v>
      </c>
      <c r="E187" s="14">
        <v>0</v>
      </c>
      <c r="F187" s="31">
        <v>0</v>
      </c>
      <c r="G187" s="31">
        <v>0</v>
      </c>
      <c r="H187" s="31">
        <v>0</v>
      </c>
      <c r="I187" s="31">
        <v>0</v>
      </c>
      <c r="J187" s="32">
        <v>1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2">
        <v>1</v>
      </c>
      <c r="U187" s="31">
        <v>0</v>
      </c>
      <c r="V187" s="31">
        <v>0</v>
      </c>
      <c r="W187" s="31">
        <v>0</v>
      </c>
      <c r="X187" s="31">
        <v>0</v>
      </c>
      <c r="Y187" s="32">
        <v>1</v>
      </c>
      <c r="Z187" s="31">
        <v>0</v>
      </c>
      <c r="AA187" s="31">
        <v>0</v>
      </c>
      <c r="AB187" s="31">
        <v>0</v>
      </c>
      <c r="AC187" s="39"/>
      <c r="AD187" s="39"/>
      <c r="AE187" s="39"/>
      <c r="AF187" s="39"/>
      <c r="AG187" s="12" t="str">
        <f t="shared" si="5"/>
        <v xml:space="preserve">2002, 2012, 2017, </v>
      </c>
      <c r="AH187" s="37" t="s">
        <v>416</v>
      </c>
      <c r="AI187" s="42" t="s">
        <v>387</v>
      </c>
    </row>
    <row r="188" spans="1:35">
      <c r="A188" s="20">
        <f t="shared" si="6"/>
        <v>185</v>
      </c>
      <c r="B188" s="14" t="s">
        <v>214</v>
      </c>
      <c r="C188" s="14" t="s">
        <v>417</v>
      </c>
      <c r="D188" s="14">
        <v>0</v>
      </c>
      <c r="E188" s="14">
        <v>0</v>
      </c>
      <c r="F188" s="31">
        <v>0</v>
      </c>
      <c r="G188" s="32">
        <v>1</v>
      </c>
      <c r="H188" s="31">
        <v>0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2">
        <v>1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1</v>
      </c>
      <c r="AC188" s="39"/>
      <c r="AD188" s="39"/>
      <c r="AE188" s="39"/>
      <c r="AF188" s="39"/>
      <c r="AG188" s="12" t="str">
        <f t="shared" si="5"/>
        <v xml:space="preserve">1999, 2009, 2020, </v>
      </c>
      <c r="AH188" s="37" t="s">
        <v>417</v>
      </c>
      <c r="AI188" s="42" t="s">
        <v>387</v>
      </c>
    </row>
    <row r="189" spans="1:35">
      <c r="A189" s="20">
        <f t="shared" si="6"/>
        <v>186</v>
      </c>
      <c r="B189" s="14" t="s">
        <v>215</v>
      </c>
      <c r="C189" s="14" t="s">
        <v>418</v>
      </c>
      <c r="D189" s="14">
        <v>0</v>
      </c>
      <c r="E189" s="14">
        <v>0</v>
      </c>
      <c r="F189" s="31">
        <v>0</v>
      </c>
      <c r="G189" s="31">
        <v>0</v>
      </c>
      <c r="H189" s="32">
        <v>1</v>
      </c>
      <c r="I189" s="31">
        <v>0</v>
      </c>
      <c r="J189" s="31">
        <v>0</v>
      </c>
      <c r="K189" s="31">
        <v>0</v>
      </c>
      <c r="L189" s="31">
        <v>0</v>
      </c>
      <c r="M189" s="31">
        <v>0</v>
      </c>
      <c r="N189" s="31">
        <v>0</v>
      </c>
      <c r="O189" s="31">
        <v>0</v>
      </c>
      <c r="P189" s="31">
        <v>0</v>
      </c>
      <c r="Q189" s="31">
        <v>0</v>
      </c>
      <c r="R189" s="31">
        <v>0</v>
      </c>
      <c r="S189" s="31">
        <v>0</v>
      </c>
      <c r="T189" s="31">
        <v>0</v>
      </c>
      <c r="U189" s="31">
        <v>0</v>
      </c>
      <c r="V189" s="31">
        <v>0</v>
      </c>
      <c r="W189" s="31">
        <v>0</v>
      </c>
      <c r="X189" s="31">
        <v>0</v>
      </c>
      <c r="Y189" s="31">
        <v>0</v>
      </c>
      <c r="Z189" s="31">
        <v>0</v>
      </c>
      <c r="AA189" s="31">
        <v>0</v>
      </c>
      <c r="AB189" s="31">
        <v>0</v>
      </c>
      <c r="AC189" s="39"/>
      <c r="AD189" s="39"/>
      <c r="AE189" s="39"/>
      <c r="AF189" s="39"/>
      <c r="AG189" s="12" t="str">
        <f t="shared" si="5"/>
        <v xml:space="preserve">2000, </v>
      </c>
      <c r="AH189" s="37" t="s">
        <v>418</v>
      </c>
      <c r="AI189" s="42" t="s">
        <v>387</v>
      </c>
    </row>
    <row r="190" spans="1:35">
      <c r="A190" s="20">
        <f t="shared" si="6"/>
        <v>187</v>
      </c>
      <c r="B190" s="14" t="s">
        <v>216</v>
      </c>
      <c r="C190" s="14" t="s">
        <v>419</v>
      </c>
      <c r="D190" s="14">
        <v>0</v>
      </c>
      <c r="E190" s="14">
        <v>0</v>
      </c>
      <c r="F190" s="31">
        <v>0</v>
      </c>
      <c r="G190" s="31">
        <v>0</v>
      </c>
      <c r="H190" s="31">
        <v>0</v>
      </c>
      <c r="I190" s="31">
        <v>0</v>
      </c>
      <c r="J190" s="31">
        <v>0</v>
      </c>
      <c r="K190" s="31">
        <v>0</v>
      </c>
      <c r="L190" s="31">
        <v>0</v>
      </c>
      <c r="M190" s="31">
        <v>0</v>
      </c>
      <c r="N190" s="31">
        <v>0</v>
      </c>
      <c r="O190" s="31">
        <v>0</v>
      </c>
      <c r="P190" s="31">
        <v>0</v>
      </c>
      <c r="Q190" s="31">
        <v>0</v>
      </c>
      <c r="R190" s="31">
        <v>0</v>
      </c>
      <c r="S190" s="31">
        <v>0</v>
      </c>
      <c r="T190" s="31">
        <v>0</v>
      </c>
      <c r="U190" s="31">
        <v>0</v>
      </c>
      <c r="V190" s="31">
        <v>0</v>
      </c>
      <c r="W190" s="31">
        <v>0</v>
      </c>
      <c r="X190" s="31">
        <v>0</v>
      </c>
      <c r="Y190" s="31">
        <v>0</v>
      </c>
      <c r="Z190" s="31">
        <v>0</v>
      </c>
      <c r="AA190" s="31">
        <v>0</v>
      </c>
      <c r="AB190" s="31">
        <v>0</v>
      </c>
      <c r="AC190" s="39"/>
      <c r="AD190" s="39">
        <v>1</v>
      </c>
      <c r="AE190" s="39"/>
      <c r="AF190" s="39"/>
      <c r="AG190" s="12" t="str">
        <f t="shared" si="5"/>
        <v xml:space="preserve">2022, </v>
      </c>
      <c r="AH190" s="37" t="s">
        <v>419</v>
      </c>
      <c r="AI190" s="9" t="s">
        <v>420</v>
      </c>
    </row>
    <row r="191" spans="1:35">
      <c r="A191" s="20">
        <f t="shared" si="6"/>
        <v>188</v>
      </c>
      <c r="B191" s="14" t="s">
        <v>217</v>
      </c>
      <c r="C191" s="14" t="s">
        <v>421</v>
      </c>
      <c r="D191" s="14">
        <v>0</v>
      </c>
      <c r="E191" s="14">
        <v>0</v>
      </c>
      <c r="F191" s="31">
        <v>0</v>
      </c>
      <c r="G191" s="31">
        <v>0</v>
      </c>
      <c r="H191" s="32">
        <v>1</v>
      </c>
      <c r="I191" s="31">
        <v>0</v>
      </c>
      <c r="J191" s="31">
        <v>0</v>
      </c>
      <c r="K191" s="31">
        <v>0</v>
      </c>
      <c r="L191" s="31">
        <v>0</v>
      </c>
      <c r="M191" s="31">
        <v>0</v>
      </c>
      <c r="N191" s="31">
        <v>0</v>
      </c>
      <c r="O191" s="31">
        <v>0</v>
      </c>
      <c r="P191" s="31">
        <v>0</v>
      </c>
      <c r="Q191" s="31">
        <v>0</v>
      </c>
      <c r="R191" s="32">
        <v>1</v>
      </c>
      <c r="S191" s="31">
        <v>0</v>
      </c>
      <c r="T191" s="31">
        <v>0</v>
      </c>
      <c r="U191" s="31">
        <v>0</v>
      </c>
      <c r="V191" s="31">
        <v>0</v>
      </c>
      <c r="W191" s="31">
        <v>0</v>
      </c>
      <c r="X191" s="31">
        <v>0</v>
      </c>
      <c r="Y191" s="31">
        <v>0</v>
      </c>
      <c r="Z191" s="31">
        <v>0</v>
      </c>
      <c r="AA191" s="31">
        <v>0</v>
      </c>
      <c r="AB191" s="31">
        <v>1</v>
      </c>
      <c r="AC191" s="39"/>
      <c r="AD191" s="39"/>
      <c r="AE191" s="39"/>
      <c r="AF191" s="39"/>
      <c r="AG191" s="12" t="str">
        <f t="shared" si="5"/>
        <v xml:space="preserve">2000, 2010, 2020, </v>
      </c>
      <c r="AH191" s="37" t="s">
        <v>421</v>
      </c>
      <c r="AI191" s="42" t="s">
        <v>229</v>
      </c>
    </row>
    <row r="192" spans="1:35">
      <c r="A192" s="20">
        <f t="shared" si="6"/>
        <v>189</v>
      </c>
      <c r="B192" s="14" t="s">
        <v>218</v>
      </c>
      <c r="C192" s="14" t="s">
        <v>422</v>
      </c>
      <c r="D192" s="14">
        <v>0</v>
      </c>
      <c r="E192" s="14">
        <v>0</v>
      </c>
      <c r="F192" s="31">
        <v>0</v>
      </c>
      <c r="G192" s="32">
        <v>1</v>
      </c>
      <c r="H192" s="31">
        <v>0</v>
      </c>
      <c r="I192" s="31">
        <v>0</v>
      </c>
      <c r="J192" s="31">
        <v>0</v>
      </c>
      <c r="K192" s="31">
        <v>1</v>
      </c>
      <c r="L192" s="31">
        <v>0</v>
      </c>
      <c r="M192" s="31">
        <v>1</v>
      </c>
      <c r="N192" s="31">
        <v>0</v>
      </c>
      <c r="O192" s="31">
        <v>1</v>
      </c>
      <c r="P192" s="31">
        <v>0</v>
      </c>
      <c r="Q192" s="31">
        <v>0</v>
      </c>
      <c r="R192" s="32">
        <v>1</v>
      </c>
      <c r="S192" s="31">
        <v>0</v>
      </c>
      <c r="T192" s="31">
        <v>0</v>
      </c>
      <c r="U192" s="31">
        <v>0</v>
      </c>
      <c r="V192" s="31">
        <v>0</v>
      </c>
      <c r="W192" s="31">
        <v>0</v>
      </c>
      <c r="X192" s="31">
        <v>0</v>
      </c>
      <c r="Y192" s="31">
        <v>0</v>
      </c>
      <c r="Z192" s="31">
        <v>0</v>
      </c>
      <c r="AA192" s="31">
        <v>0</v>
      </c>
      <c r="AB192" s="31">
        <v>1</v>
      </c>
      <c r="AC192" s="39"/>
      <c r="AD192" s="39"/>
      <c r="AE192" s="39"/>
      <c r="AF192" s="39"/>
      <c r="AG192" s="12" t="str">
        <f>+IF($D192=1,RIGHT(D$3,4)&amp;", ","")&amp;IF($E192=1,RIGHT(E$3,4)&amp;", ","")&amp;IF($F192=1,RIGHT(F$3,4)&amp;", ","")&amp;IF($G192=1,RIGHT(G$3,4)&amp;", ","")&amp;IF($H192=1,RIGHT(H$3,4)&amp;", ","")&amp;IF($I192=1,RIGHT(I$3,4)&amp;", ","")&amp;IF($J192=1,RIGHT(J$3,4)&amp;", ","")&amp;IF($K192=1,RIGHT(K$3,4)&amp;", ","")&amp;IF($L192=1,RIGHT(L$3,4)&amp;", ","")&amp;IF($M192=1,RIGHT(M$3,4)&amp;", ","")&amp;IF($N192=1,RIGHT(N$3,4)&amp;", ","")&amp;IF($O192=1,RIGHT(O$3,4)&amp;", ","")&amp;IF($P192=1,RIGHT(P$3,4)&amp;", ","")&amp;IF($Q192=1,RIGHT(Q$3,4)&amp;", ","")&amp;IF($R192=1,RIGHT(R$3,4)&amp;", ","")&amp;IF($S192=1,RIGHT(S$3,4)&amp;", ","")&amp;IF($T192=1,RIGHT(T$3,4)&amp;", ","")&amp;IF($U192=1,RIGHT(U$3,4)&amp;", ","")&amp;IF($V192=1,RIGHT(V$3,4)&amp;", ","")&amp;IF($W192=1,RIGHT(W$3,4)&amp;", ","")&amp;IF($X192=1,RIGHT(X$3,4)&amp;", ","")&amp;IF($Y192=1,RIGHT(Y$3,4)&amp;", ","")&amp;IF($Z192=1, RIGHT(Z$3,4)&amp;", ", "")&amp;IF($AA192=1, RIGHT(AA$3,4)&amp;", ", "")&amp;IF($AB192=1, RIGHT(AB$3,4)&amp;", ", "")&amp;IF($AC192=1, RIGHT(AC$3,4)&amp;", ", "")&amp;IF($AD192=1, RIGHT(AD$3,4)&amp;", ", "")&amp;IF($AE192=1, RIGHT(AE$3,4)&amp;", ", "")&amp;IF($AF192=1, RIGHT(AF$3,4)&amp;", ", "")</f>
        <v xml:space="preserve">1999, 2003, 2005, 2007, 2010, 2020, </v>
      </c>
      <c r="AH192" s="37" t="s">
        <v>422</v>
      </c>
      <c r="AI192" s="42" t="s">
        <v>229</v>
      </c>
    </row>
    <row r="193" spans="1:35">
      <c r="A193" s="20">
        <f t="shared" si="6"/>
        <v>190</v>
      </c>
      <c r="B193" s="14" t="s">
        <v>219</v>
      </c>
      <c r="C193" s="14" t="s">
        <v>423</v>
      </c>
      <c r="D193" s="14">
        <v>0</v>
      </c>
      <c r="E193" s="34">
        <v>1</v>
      </c>
      <c r="F193" s="31">
        <v>0</v>
      </c>
      <c r="G193" s="31">
        <v>0</v>
      </c>
      <c r="H193" s="31">
        <v>0</v>
      </c>
      <c r="I193" s="31">
        <v>0</v>
      </c>
      <c r="J193" s="32">
        <v>1</v>
      </c>
      <c r="K193" s="31">
        <v>0</v>
      </c>
      <c r="L193" s="31">
        <v>0</v>
      </c>
      <c r="M193" s="31">
        <v>0</v>
      </c>
      <c r="N193" s="31">
        <v>0</v>
      </c>
      <c r="O193" s="32">
        <v>1</v>
      </c>
      <c r="P193" s="31">
        <v>0</v>
      </c>
      <c r="Q193" s="31">
        <v>0</v>
      </c>
      <c r="R193" s="31">
        <v>0</v>
      </c>
      <c r="S193" s="31">
        <v>0</v>
      </c>
      <c r="T193" s="32">
        <v>1</v>
      </c>
      <c r="U193" s="31">
        <v>0</v>
      </c>
      <c r="V193" s="31">
        <v>0</v>
      </c>
      <c r="W193" s="31">
        <v>0</v>
      </c>
      <c r="X193" s="31">
        <v>0</v>
      </c>
      <c r="Y193" s="32">
        <v>1</v>
      </c>
      <c r="Z193" s="31">
        <v>0</v>
      </c>
      <c r="AA193" s="31">
        <v>0</v>
      </c>
      <c r="AB193" s="31">
        <v>0</v>
      </c>
      <c r="AC193" s="39"/>
      <c r="AD193" s="39"/>
      <c r="AE193" s="39"/>
      <c r="AF193" s="39"/>
      <c r="AG193" s="12" t="str">
        <f t="shared" si="5"/>
        <v xml:space="preserve">1997, 2002, 2007, 2012, 2017, </v>
      </c>
      <c r="AH193" s="37" t="s">
        <v>423</v>
      </c>
      <c r="AI193" s="42" t="s">
        <v>229</v>
      </c>
    </row>
  </sheetData>
  <hyperlinks>
    <hyperlink ref="AJ40" r:id="rId1" xr:uid="{25E1DCAD-EDB6-45E1-AC63-4487170627B1}"/>
    <hyperlink ref="AI158" r:id="rId2" xr:uid="{CB98B67B-85C7-4647-9CF2-CF8D96E194DF}"/>
    <hyperlink ref="AI159:AI160" r:id="rId3" display="https://www.fao.org/world-census-agriculture/wca-round/wca-round-2020/en" xr:uid="{0FCB0F60-A15A-4866-AFFB-3823A7E93E1B}"/>
    <hyperlink ref="AI161" r:id="rId4" xr:uid="{3226863B-ED15-4C03-948E-3248A1561225}"/>
    <hyperlink ref="AI164" r:id="rId5" xr:uid="{2EBA3432-CC69-4AEF-8890-B4E60BE27490}"/>
    <hyperlink ref="AI167" r:id="rId6" xr:uid="{6216BBE4-7EA8-43B5-B226-71498B2516E6}"/>
    <hyperlink ref="AI170" r:id="rId7" xr:uid="{D36C98F0-6856-4284-BBD8-4AFB44229CD3}"/>
    <hyperlink ref="AI173" r:id="rId8" xr:uid="{00DF0F23-BB56-46A4-9A24-F85E8E583DCD}"/>
    <hyperlink ref="AI176" r:id="rId9" xr:uid="{6814D550-C28B-44FA-A08F-DBD3E4A9C09B}"/>
    <hyperlink ref="AI179" r:id="rId10" xr:uid="{86EF9106-4CA3-43FB-B6E8-E7F5195DD18C}"/>
    <hyperlink ref="AI182" r:id="rId11" xr:uid="{61DD2A63-CE73-4BE6-8772-8956F064E68F}"/>
    <hyperlink ref="AI185" r:id="rId12" xr:uid="{CDADA14E-91B0-48F5-ABB0-AE99F6941082}"/>
    <hyperlink ref="AI188" r:id="rId13" xr:uid="{4B7DA9CB-B68D-4FCB-9BDD-C649A454976F}"/>
    <hyperlink ref="AI162:AI163" r:id="rId14" display="https://www.fao.org/world-census-agriculture/wca-round/wca-round-2020/en" xr:uid="{CB12E7EF-960C-47DE-8B5F-A91569A7DCC5}"/>
    <hyperlink ref="AI165:AI166" r:id="rId15" display="https://www.fao.org/world-census-agriculture/wca-round/wca-round-2020/en" xr:uid="{7630AAF8-9A51-4444-9718-0720BA02D4BC}"/>
    <hyperlink ref="AI168:AI169" r:id="rId16" display="https://www.fao.org/world-census-agriculture/wca-round/wca-round-2020/en" xr:uid="{6B4660FE-F8D8-4E1E-B06B-7422FA09CECB}"/>
    <hyperlink ref="AI171:AI172" r:id="rId17" display="https://www.fao.org/world-census-agriculture/wca-round/wca-round-2020/en" xr:uid="{B3E5E7B5-AD90-47D8-A747-EFC35F97ECE1}"/>
    <hyperlink ref="AI174:AI175" r:id="rId18" display="https://www.fao.org/world-census-agriculture/wca-round/wca-round-2020/en" xr:uid="{7FB817C6-382D-46C3-9045-776C66DA7FF6}"/>
    <hyperlink ref="AI177:AI178" r:id="rId19" display="https://www.fao.org/world-census-agriculture/wca-round/wca-round-2020/en" xr:uid="{7EDEC8C8-157D-4F21-9AE7-BA90C2A1343C}"/>
    <hyperlink ref="AI180:AI181" r:id="rId20" display="https://www.fao.org/world-census-agriculture/wca-round/wca-round-2020/en" xr:uid="{C21C8D5F-CAAE-47EC-88BC-3AD09D2DA2C3}"/>
    <hyperlink ref="AI183:AI184" r:id="rId21" display="https://www.fao.org/world-census-agriculture/wca-round/wca-round-2020/en" xr:uid="{BBB2E8BD-499B-4A7F-9D78-122CC3F65905}"/>
    <hyperlink ref="AI186:AI187" r:id="rId22" display="https://www.fao.org/world-census-agriculture/wca-round/wca-round-2020/en" xr:uid="{18184689-7C18-4C4E-A3AA-2B5CEFEA6DAE}"/>
    <hyperlink ref="AI189" r:id="rId23" xr:uid="{568D2F46-FB34-476F-881F-BE909825A398}"/>
    <hyperlink ref="AI191" r:id="rId24" xr:uid="{A101E863-14F7-4E60-8C22-DD69DC9B4AF9}"/>
    <hyperlink ref="AI192" r:id="rId25" xr:uid="{A20238A4-08D4-4EAB-B328-85C6F817D923}"/>
    <hyperlink ref="AI193" r:id="rId26" xr:uid="{A6B7ABF7-1120-4F6E-8759-2DAE6A23C483}"/>
    <hyperlink ref="AI4" r:id="rId27" xr:uid="{07CC4A45-9030-4072-852C-25E8A1C00D15}"/>
    <hyperlink ref="AI5:AI24" r:id="rId28" display="https://www.fao.org/world-census-agriculture/wcarounds/wca2020/countries2020/en/" xr:uid="{7CD24037-73B2-4F39-A0DE-ADD2B089D74B}"/>
    <hyperlink ref="AI25" r:id="rId29" xr:uid="{478867AF-19F5-4812-A242-14764D7CE79C}"/>
    <hyperlink ref="AI46" r:id="rId30" xr:uid="{DCC72901-C667-44BB-9599-DB8E1F71764F}"/>
    <hyperlink ref="AI67" r:id="rId31" xr:uid="{35C44B32-3EF0-415C-9122-748F6CB9D753}"/>
    <hyperlink ref="AI88" r:id="rId32" xr:uid="{876526C2-0616-4C3D-BF52-4658211F174D}"/>
    <hyperlink ref="AI109" r:id="rId33" xr:uid="{7769B3EB-F1D5-49D7-B370-F49DF7E09EB3}"/>
    <hyperlink ref="AI26:AI45" r:id="rId34" display="https://www.fao.org/world-census-agriculture/wcarounds/wca2020/countries2020/en/" xr:uid="{870E3DA2-B315-4C15-8A53-C48AC22D462D}"/>
    <hyperlink ref="AI47:AI66" r:id="rId35" display="https://www.fao.org/world-census-agriculture/wcarounds/wca2020/countries2020/en/" xr:uid="{1266AA3D-7F68-44D8-B407-77279A492162}"/>
    <hyperlink ref="AI68:AI87" r:id="rId36" display="https://www.fao.org/world-census-agriculture/wcarounds/wca2020/countries2020/en/" xr:uid="{954E7C6E-09CD-4421-B964-4359AC30D236}"/>
    <hyperlink ref="AI89:AI108" r:id="rId37" display="https://www.fao.org/world-census-agriculture/wcarounds/wca2020/countries2020/en/" xr:uid="{41A64D13-5347-4A13-B529-9229C4EF7B60}"/>
    <hyperlink ref="AI110:AI112" r:id="rId38" display="https://www.fao.org/world-census-agriculture/wcarounds/wca2020/countries2020/en/" xr:uid="{5A74E1F5-3AF2-4FD9-99F6-7EF0A8DC87AB}"/>
    <hyperlink ref="AI114" r:id="rId39" xr:uid="{BD56FD01-D644-424F-A0F2-994F4D01C828}"/>
    <hyperlink ref="AI115:AI157" r:id="rId40" display="https://www.fao.org/world-census-agriculture/wcarounds/wca2020/countries2020/en/" xr:uid="{DD95001C-7C20-44FA-B989-9B9CD176213A}"/>
  </hyperlinks>
  <pageMargins left="0.7" right="0.7" top="0.75" bottom="0.75" header="0.3" footer="0.3"/>
  <pageSetup orientation="portrait" r:id="rId41"/>
  <legacyDrawing r:id="rId4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0FE447-6A59-456A-9424-0DEFE930C294}"/>
</file>

<file path=customXml/itemProps2.xml><?xml version="1.0" encoding="utf-8"?>
<ds:datastoreItem xmlns:ds="http://schemas.openxmlformats.org/officeDocument/2006/customXml" ds:itemID="{26BEC7CC-A89E-4B59-A350-12F5A7982677}"/>
</file>

<file path=customXml/itemProps3.xml><?xml version="1.0" encoding="utf-8"?>
<ds:datastoreItem xmlns:ds="http://schemas.openxmlformats.org/officeDocument/2006/customXml" ds:itemID="{5C096552-319F-494A-92C1-A84ED14A1F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Barboza</dc:creator>
  <cp:keywords/>
  <dc:description/>
  <cp:lastModifiedBy>Zander Prinsloo</cp:lastModifiedBy>
  <cp:revision/>
  <dcterms:created xsi:type="dcterms:W3CDTF">2019-06-14T03:13:01Z</dcterms:created>
  <dcterms:modified xsi:type="dcterms:W3CDTF">2025-05-08T13:48:04Z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</Properties>
</file>