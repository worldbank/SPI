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bstacy_worldbank_org/Documents/DECIS/SPI/Data/SPI 2023/01_raw_data/"/>
    </mc:Choice>
  </mc:AlternateContent>
  <xr:revisionPtr revIDLastSave="680" documentId="13_ncr:1_{0107A213-DD1F-4D8B-B3A3-68400825ADD1}" xr6:coauthVersionLast="47" xr6:coauthVersionMax="47" xr10:uidLastSave="{FDA3EA1F-C0CA-4378-9E65-4036D9996817}"/>
  <bookViews>
    <workbookView xWindow="-120" yWindow="-120" windowWidth="29040" windowHeight="15840" firstSheet="1" activeTab="1" xr2:uid="{FD0EA324-56B6-4932-9A90-F28051EED91B}"/>
  </bookViews>
  <sheets>
    <sheet name="2020 DCS" sheetId="16" r:id="rId1"/>
    <sheet name="Data" sheetId="12" r:id="rId2"/>
    <sheet name="Sources" sheetId="17" r:id="rId3"/>
  </sheets>
  <definedNames>
    <definedName name="_xlnm._FilterDatabase" localSheetId="1" hidden="1">Data!$A$3:$CL$3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15" i="12" l="1"/>
  <c r="AG96" i="12"/>
  <c r="AG93" i="12"/>
  <c r="AG26" i="12"/>
  <c r="AG9" i="12"/>
  <c r="AG148" i="12"/>
  <c r="AG147" i="12"/>
  <c r="AG146" i="12"/>
  <c r="AG143" i="12"/>
  <c r="AG137" i="12"/>
  <c r="AG136" i="12"/>
  <c r="AG133" i="12"/>
  <c r="AG131" i="12"/>
  <c r="AG130" i="12"/>
  <c r="AG129" i="12"/>
  <c r="AG126" i="12"/>
  <c r="AG124" i="12"/>
  <c r="AG123" i="12"/>
  <c r="AG121" i="12"/>
  <c r="AG120" i="12"/>
  <c r="AG119" i="12"/>
  <c r="AG117" i="12"/>
  <c r="AG116" i="12"/>
  <c r="AG114" i="12"/>
  <c r="AG112" i="12"/>
  <c r="AG111" i="12"/>
  <c r="AG110" i="12"/>
  <c r="AG105" i="12"/>
  <c r="AG102" i="12"/>
  <c r="AG100" i="12"/>
  <c r="AG98" i="12"/>
  <c r="AG97" i="12"/>
  <c r="AG95" i="12"/>
  <c r="AG94" i="12"/>
  <c r="AG91" i="12"/>
  <c r="AG90" i="12"/>
  <c r="AG86" i="12"/>
  <c r="AG83" i="12"/>
  <c r="AG81" i="12"/>
  <c r="AG77" i="12"/>
  <c r="AG75" i="12"/>
  <c r="AG68" i="12"/>
  <c r="AG63" i="12"/>
  <c r="AG58" i="12"/>
  <c r="AG57" i="12"/>
  <c r="AG56" i="12"/>
  <c r="AG4" i="12"/>
  <c r="AG28" i="12"/>
  <c r="AG27" i="12"/>
  <c r="AG32" i="12"/>
  <c r="AG33" i="12"/>
  <c r="AG34" i="12"/>
  <c r="AG38" i="12"/>
  <c r="AG39" i="12"/>
  <c r="AG44" i="12"/>
  <c r="AG45" i="12"/>
  <c r="AG48" i="12"/>
  <c r="AG47" i="12"/>
  <c r="AG55" i="12"/>
  <c r="AG53" i="12"/>
  <c r="AG50" i="12"/>
  <c r="AG24" i="12"/>
  <c r="AG23" i="12"/>
  <c r="AG16" i="12"/>
  <c r="AG15" i="12"/>
  <c r="AG7" i="12"/>
  <c r="AG6" i="12"/>
  <c r="AG78" i="12"/>
  <c r="AG74" i="12"/>
  <c r="AG67" i="12"/>
  <c r="AG65" i="12"/>
  <c r="AG52" i="12"/>
  <c r="AG49" i="12"/>
  <c r="AG46" i="12"/>
  <c r="AG30" i="12"/>
  <c r="A5" i="12" l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C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R5" authorId="0" shapeId="0" xr:uid="{059D1A22-4881-433B-8DCC-B07A54AF94F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http://www.instat.gov.al/en/themes/censuses/economic-enterprises-census/publikimet/2010/census-of-non-agriculture-economic-enterprises-2010/</t>
        </r>
      </text>
    </comment>
    <comment ref="S6" authorId="0" shapeId="0" xr:uid="{DE39BCD3-68DA-46B2-A049-780EB063C02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https://www.ons.dz/IMG/pdf/Resultats_definitifs_phase_I_RE2011.pdf</t>
        </r>
      </text>
    </comment>
    <comment ref="I12" authorId="0" shapeId="0" xr:uid="{7D064AB0-2F50-48B5-9960-E6777D4253E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http://www.bbs.gov.bd/site/page/d13ee628-7458-4650-a824-6423d35d3620/-</t>
        </r>
      </text>
    </comment>
    <comment ref="U12" authorId="0" shapeId="0" xr:uid="{C1C9EEB6-E90A-4EBD-AA21-B4B433513A7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http://www.bbs.gov.bd/site/page/d13ee628-7458-4650-a824-6423d35d3620/-</t>
        </r>
      </text>
    </comment>
    <comment ref="P15" authorId="1" shapeId="0" xr:uid="{81F1AC42-CFE2-42C5-A7AD-780A0BADD3D4}">
      <text>
        <r>
          <rPr>
            <b/>
            <sz val="9"/>
            <color indexed="81"/>
            <rFont val="Tahoma"/>
            <charset val="1"/>
          </rPr>
          <t>https://insae.bj/statistiques/enquetes-et-recensements#recensement-general-des-entreprises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16" authorId="0" shapeId="0" xr:uid="{AFD4AE89-7523-4980-A3FF-060E3DFE700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https://www.nsb.gov.bt/publications/census-report/</t>
        </r>
      </text>
    </comment>
    <comment ref="N19" authorId="0" shapeId="0" xr:uid="{BA2B2C9F-9589-4F2F-9A6D-AD841E67704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https://www.statsbots.org.bw/publication-by-sector/108</t>
        </r>
      </text>
    </comment>
    <comment ref="X19" authorId="0" shapeId="0" xr:uid="{46D8E9D4-841C-4E7B-9CB1-97E1C4ED520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https://www.statsbots.org.bw/publication-by-sector/108</t>
        </r>
      </text>
    </comment>
    <comment ref="Z24" authorId="0" shapeId="0" xr:uid="{1C7185DA-E97A-426A-9C8A-41D8032226D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http://ine.cv/publicacoes/resultados-preliminares-do-v-recenseamento-empresarial/</t>
        </r>
      </text>
    </comment>
    <comment ref="S25" authorId="1" shapeId="0" xr:uid="{384487B8-92A7-47FC-B0A4-017ED070B943}">
      <text>
        <r>
          <rPr>
            <b/>
            <sz val="9"/>
            <color indexed="81"/>
            <rFont val="Tahoma"/>
            <charset val="1"/>
          </rPr>
          <t>Aieshwarya Davis:</t>
        </r>
        <r>
          <rPr>
            <sz val="9"/>
            <color indexed="81"/>
            <rFont val="Tahoma"/>
            <charset val="1"/>
          </rPr>
          <t xml:space="preserve">
Economic Census, 2011
</t>
        </r>
      </text>
    </comment>
    <comment ref="AA30" authorId="0" shapeId="0" xr:uid="{C20DF475-8F69-4AAC-A9BD-5492320C9FE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http://www.stats.gov.cn/english/PressRelease/201911/t20191120_1710324.html</t>
        </r>
      </text>
    </comment>
    <comment ref="R41" authorId="1" shapeId="0" xr:uid="{50EB6E3A-52E5-4699-B48B-50008001A47C}">
      <text>
        <r>
          <rPr>
            <b/>
            <sz val="9"/>
            <color indexed="81"/>
            <rFont val="Tahoma"/>
            <charset val="1"/>
          </rPr>
          <t>Aieshwarya Davis:</t>
        </r>
        <r>
          <rPr>
            <sz val="9"/>
            <color indexed="81"/>
            <rFont val="Tahoma"/>
            <charset val="1"/>
          </rPr>
          <t xml:space="preserve">
national economic census</t>
        </r>
      </text>
    </comment>
    <comment ref="Y42" authorId="0" shapeId="0" xr:uid="{7377FAD4-E879-489F-8B88-FB6F05AA48D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https://www.capmas.gov.eg/Pages/Economicnew.aspx?page_id=2029</t>
        </r>
      </text>
    </comment>
    <comment ref="S46" authorId="0" shapeId="0" xr:uid="{50AB5AC0-D5DE-47DB-9827-A2F83CF13E9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http://www.gov.sz/images/ec2011.pdf</t>
        </r>
      </text>
    </comment>
    <comment ref="K52" authorId="1" shapeId="0" xr:uid="{0EA21C9D-0BBA-4A84-9820-3C1C58AF49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industrial census</t>
        </r>
      </text>
    </comment>
    <comment ref="U52" authorId="0" shapeId="0" xr:uid="{AF975813-556A-4609-B8D6-CD02B43D6FB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https://statsghana.gov.gh/gssmain/fileUpload/pressrelease/IBES%20II%20COMPREHENSIVE%20SECTORAL%20REPORT.pdf
https://statsghana.gov.gh/gssmain/fileUpload/pressrelease/SUMMARY%20REPORT_FINAL_FINAL_24-5-16.pdf</t>
        </r>
      </text>
    </comment>
    <comment ref="F60" authorId="0" shapeId="0" xr:uid="{00013348-81A2-47E0-8FCE-E2989E28753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http://microdata.gov.in/nada43/index.php/catalog/ECO</t>
        </r>
      </text>
    </comment>
    <comment ref="M60" authorId="1" shapeId="0" xr:uid="{CB2FAB26-DF25-4A3F-B2D3-89F9782267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Economic Census
</t>
        </r>
      </text>
    </comment>
    <comment ref="V60" authorId="0" shapeId="0" xr:uid="{FBD490F1-3916-48ED-9E8E-3370556382C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http://microdata.gov.in/nada43/index.php/catalog/ECO</t>
        </r>
      </text>
    </comment>
    <comment ref="D61" authorId="0" shapeId="0" xr:uid="{0726CE3A-7E10-4867-B084-89512A2C66E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https://mikrodata.bps.go.id/mikrodata/index.php/catalog/SE</t>
        </r>
      </text>
    </comment>
    <comment ref="N61" authorId="0" shapeId="0" xr:uid="{77DC293F-893D-469A-80C1-69E57F88311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https://mikrodata.bps.go.id/mikrodata/index.php/catalog/SE</t>
        </r>
      </text>
    </comment>
    <comment ref="N65" authorId="0" shapeId="0" xr:uid="{3AAE7B70-9E8A-415F-8AFB-931D1534466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http://dosweb.dos.gov.jo/censuses/establish-census/</t>
        </r>
      </text>
    </comment>
    <comment ref="S65" authorId="0" shapeId="0" xr:uid="{AFF61F5E-A572-4669-8070-A9AA81F0A56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http://dosweb.dos.gov.jo/censuses/establish-census/</t>
        </r>
      </text>
    </comment>
    <comment ref="Z65" authorId="0" shapeId="0" xr:uid="{5C54785B-73A0-4D8B-9FBC-48ACA8D6E76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http://dosweb.dos.gov.jo/censuses/establish-census/</t>
        </r>
      </text>
    </comment>
    <comment ref="R67" authorId="1" shapeId="0" xr:uid="{B9E4AA21-C445-4901-821B-1A93372393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Census of industrial production</t>
        </r>
      </text>
    </comment>
    <comment ref="Y67" authorId="0" shapeId="0" xr:uid="{5D2C3997-EFF5-4200-9B07-BF4BAC580AF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https://www.knbs.or.ke/?wpdmpro=report-2017-kenya-census-establishments-coe</t>
        </r>
      </text>
    </comment>
    <comment ref="N71" authorId="1" shapeId="0" xr:uid="{718EB865-2674-4AA2-95C3-63150492CE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Economic Census
</t>
        </r>
      </text>
    </comment>
    <comment ref="U71" authorId="0" shapeId="0" xr:uid="{7F4DB7CB-0415-41BC-8277-7E55C3EC40C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https://laosis.lsb.gov.la/board/BoardList.do?bbs_bbsid=B404</t>
        </r>
      </text>
    </comment>
    <comment ref="AA71" authorId="0" shapeId="0" xr:uid="{6C045964-FA17-43E3-BFC4-81832827F30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https://laosis.lsb.gov.la/board/BoardList.do?bbs_bbsid=B404</t>
        </r>
      </text>
    </comment>
    <comment ref="W73" authorId="0" shapeId="0" xr:uid="{8A3C8FA7-15F8-40F9-9C97-90942C05352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http://www.bos.gov.ls/Publications.htm</t>
        </r>
      </text>
    </comment>
    <comment ref="Y74" authorId="0" shapeId="0" xr:uid="{0E2DD8F0-CD27-4DB4-9247-67B73D68D32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https://www.lisgis.net/pg_img/National%20Establishment%20Census%202017%20Report.pdf
https://www.lisgis.net/page1.php?&amp;7d5f44532cbfc489b8db9e12e44eb820=Mzkx</t>
        </r>
      </text>
    </comment>
    <comment ref="X78" authorId="0" shapeId="0" xr:uid="{FE084EA7-971D-4027-907A-3A2F2E104C8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http://www.nsomalawi.mw/images/stories/data_on_line/economics/Census_of_Economic_Activities_CEA/Census%20of%20Economic%20Activities%20(CEA)%202016-2017.pdf</t>
        </r>
      </text>
    </comment>
    <comment ref="X79" authorId="0" shapeId="0" xr:uid="{FD9CD7C5-701A-4C33-99D5-4BDB9DE59AFC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https://www.dosm.gov.my/v1/index.php?r=column/cone&amp;menu_id=Y0xhWWQycmMwWUVOejNHeEJmeVNXQT09
https://www.dosm.gov.my/v1/index.php?r=column/cone&amp;menu_id=WjZVTy9veGlsYThwN2FEN2oxNE9tUT09</t>
        </r>
      </text>
    </comment>
    <comment ref="Z84" authorId="0" shapeId="0" xr:uid="{90D298F5-A048-4497-B586-0270CF685EC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https://statsmauritius.govmu.org/Pages/Censuses%20and%20Surveys/CEA/Census-of-Economic-Activity.aspx</t>
        </r>
      </text>
    </comment>
    <comment ref="AA85" authorId="0" shapeId="0" xr:uid="{68306BA5-CE5B-43DE-9353-C4A69094524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https://www.inegi.org.mx/datos/default.html?ps=Programas#Programas</t>
        </r>
      </text>
    </comment>
    <comment ref="I90" authorId="0" shapeId="0" xr:uid="{2F901E68-B20E-4F77-BF26-35BEE32C359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https://www.hcp.ma/Recensement-economique_a106.html</t>
        </r>
      </text>
    </comment>
    <comment ref="V91" authorId="0" shapeId="0" xr:uid="{60AF1399-8010-4968-A10B-FE1640113D3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2014-2015 Business Census</t>
        </r>
      </text>
    </comment>
    <comment ref="I95" authorId="0" shapeId="0" xr:uid="{E4D79393-6E59-49DF-AE9D-48B5419D892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Census of Manufacturing Establishments 2001-2002, Quinquinnial Census</t>
        </r>
      </text>
    </comment>
    <comment ref="N95" authorId="0" shapeId="0" xr:uid="{AEEA6177-1139-4F93-8B81-CD6359C6BC4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Census of Manufacturing Establishments 2006-2007, Quinquinnial Census</t>
        </r>
      </text>
    </comment>
    <comment ref="Z95" authorId="0" shapeId="0" xr:uid="{1F1D40F0-30C5-4367-B2CF-150B731F449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https://nada.cbs.gov.np/index.php/catalog/92/study-description</t>
        </r>
      </text>
    </comment>
    <comment ref="M99" authorId="0" shapeId="0" xr:uid="{F82D819A-FC61-4604-B275-DE5B7C55BF7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https://www.pbs.gov.pk/industry-publications</t>
        </r>
      </text>
    </comment>
    <comment ref="T101" authorId="0" shapeId="0" xr:uid="{C47A54F4-A225-401C-BDE7-C0C8D94CC12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https://www.inec.gob.pa/publicaciones/Default2.aspx?ID_CATEGORIA=18&amp;ID_SUBCATEGORIA=64</t>
        </r>
      </text>
    </comment>
    <comment ref="S103" authorId="0" shapeId="0" xr:uid="{42AAFC7B-9D84-44E1-A48B-10752196A16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https://www.ine.gov.py/default.php?publicacion=20</t>
        </r>
      </text>
    </comment>
    <comment ref="P104" authorId="0" shapeId="0" xr:uid="{CE472627-17D6-4A3D-A6A8-1C6FE432B05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http://webinei.inei.gob.pe/anda_inei/index.php/catalog/267</t>
        </r>
      </text>
    </comment>
    <comment ref="N105" authorId="0" shapeId="0" xr:uid="{76D6AD64-3661-4375-86D0-B119BDABAF0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http://psada.psa.gov.ph/index.php/catalog/Establishment-based_Censuses</t>
        </r>
      </text>
    </comment>
    <comment ref="T105" authorId="0" shapeId="0" xr:uid="{5DF28FBF-C307-488A-A676-00390E4AF2E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http://www.psa.gov.ph/statistics/census/business-and-industry</t>
        </r>
      </text>
    </comment>
    <comment ref="Z105" authorId="0" shapeId="0" xr:uid="{FF3923F5-0D4D-49A9-BBF0-E690AF0CCDB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http://www.psa.gov.ph/statistics/census/business-and-industry</t>
        </r>
      </text>
    </comment>
    <comment ref="Y109" authorId="0" shapeId="0" xr:uid="{7BF7E59B-6AD5-4729-8C83-402BE9DBCB7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http://statistics.gov.rw/datasource/establishment-census</t>
        </r>
      </text>
    </comment>
    <comment ref="X112" authorId="0" shapeId="0" xr:uid="{DAC4E308-9ED0-402E-8D3E-BFF9ACF26D5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http://www.ansd.sn/ressources/rapports/Rapport%20global-05-07-2017.pdf</t>
        </r>
      </text>
    </comment>
    <comment ref="K120" authorId="0" shapeId="0" xr:uid="{99C193AF-722E-4BE3-8D49-4A76414EA4A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http://www.statistics.gov.lk/Economic/history.html</t>
        </r>
      </text>
    </comment>
    <comment ref="U120" authorId="0" shapeId="0" xr:uid="{BBF9D0C7-A66C-4744-88D4-E9DD0991575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http://www.statistics.gov.lk/page.asp?page=Industry</t>
        </r>
      </text>
    </comment>
    <comment ref="X125" authorId="0" shapeId="0" xr:uid="{A253A70C-0D42-4FFF-8CDD-8447A0A0D59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https://statistics-suriname.org/en/business-census-2016/</t>
        </r>
      </text>
    </comment>
    <comment ref="S128" authorId="0" shapeId="0" xr:uid="{E50510B1-6AB1-4C9D-AA90-EE102644223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https://www.nbs.go.tz/tnada/index.php/catalog/8</t>
        </r>
      </text>
    </comment>
    <comment ref="O129" authorId="0" shapeId="0" xr:uid="{1B7A4B01-6429-45F2-8015-FEDB8F3A704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http://web.nso.go.th/en/survey/construction/industrial_07.htm</t>
        </r>
      </text>
    </comment>
    <comment ref="T129" authorId="0" shapeId="0" xr:uid="{65F997CC-7149-45FA-BFD8-879B4B73AE8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http://web.nso.go.th/en/census/bi/bi12.htm</t>
        </r>
      </text>
    </comment>
    <comment ref="Y131" authorId="0" shapeId="0" xr:uid="{B0D38C63-366C-40DC-B4A4-3421A6E1540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https://inseed.tg/statistiques-economiques/
http://www.stat-togo.org/contenu/pdf/pb/Rapport-General_RGE_2018.pdf</t>
        </r>
      </text>
    </comment>
    <comment ref="T144" authorId="0" shapeId="0" xr:uid="{76A4C7E6-ADCF-4CBD-B810-D3D53950DDE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https://www.gso.gov.vn/default_en.aspx?tabid=515&amp;idmid=5&amp;ItemID=13732</t>
        </r>
      </text>
    </comment>
    <comment ref="Y144" authorId="0" shapeId="0" xr:uid="{73D8AB77-0BA1-448E-A7D5-00384CF5D7D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http://www.gso.gov.vn/default.aspx?tabid=512&amp;idmid=5&amp;ItemID=18973</t>
        </r>
      </text>
    </comment>
    <comment ref="L145" authorId="0" shapeId="0" xr:uid="{6D2F48A5-3E53-456D-A357-A7BD242D25E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http://www.pcbs.gov.ps/pcbs_2012/Publications.aspx</t>
        </r>
      </text>
    </comment>
    <comment ref="O145" authorId="0" shapeId="0" xr:uid="{F5AE82F6-215D-4835-BA20-0AF26A5E646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http://www.pcbs.gov.ps/pcbs_2012/Publications.aspx</t>
        </r>
      </text>
    </comment>
    <comment ref="T145" authorId="0" shapeId="0" xr:uid="{CB3D868C-3C4E-4BAA-9AD1-1CA880F41D5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http://www.pcbs.gov.ps/pcbs_2012/Publications.aspx</t>
        </r>
      </text>
    </comment>
    <comment ref="Y145" authorId="0" shapeId="0" xr:uid="{2DFC7184-8E50-4CBB-9BCD-887877D1BF7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http://www.pcbs.gov.ps/pcbs_2012/Publications.aspx</t>
        </r>
      </text>
    </comment>
    <comment ref="U148" authorId="0" shapeId="0" xr:uid="{0E343285-3083-4DB5-A2A7-90F80F09779C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http://www.nada.zimstat.co.zw/nada/index.php/catalog/42/study-description</t>
        </r>
      </text>
    </comment>
    <comment ref="R156" authorId="0" shapeId="0" xr:uid="{167821E2-A92E-41DB-B046-6C6AE854B13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https://www.ncsi.gov.om/Elibrary/Pages/LibraryContentDetails.aspx?ItemID=N%2f7uF7fvyeKj4SIM3PIPFg%3d%3d
https://www.ncsi.gov.om/Pages/NCSI.aspx</t>
        </r>
      </text>
    </comment>
    <comment ref="K157" authorId="0" shapeId="0" xr:uid="{A5525DC5-81FB-4F7D-87C0-EABE7216978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https://www.stats.gov.sa/ar/16</t>
        </r>
      </text>
    </comment>
    <comment ref="R157" authorId="0" shapeId="0" xr:uid="{668CEF39-E9E1-43A2-9944-151CB85CE01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https://www.stats.gov.sa/ar/16</t>
        </r>
      </text>
    </comment>
    <comment ref="I162" authorId="0" shapeId="0" xr:uid="{7930FF36-F235-40D7-BC03-3499886E10C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http://www.statistik.at/web_de/dokumentationen/Wirtschaft/Unternehmenarbeitsstaetten/index.html</t>
        </r>
      </text>
    </comment>
    <comment ref="S162" authorId="0" shapeId="0" xr:uid="{77CA7D09-4803-404E-9DC4-CA95A2C5D88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http://www.statistik.at/web_de/dokumentationen/Wirtschaft/Unternehmenarbeitsstaetten/index.html</t>
        </r>
      </text>
    </comment>
    <comment ref="R165" authorId="0" shapeId="0" xr:uid="{B2729501-494A-462B-9750-44FF6CE7A9E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http://www.deps.gov.bn/SitePages/Census%20and%20Survey.aspx</t>
        </r>
      </text>
    </comment>
    <comment ref="W165" authorId="0" shapeId="0" xr:uid="{BE4DD43A-BE16-4D94-9720-98B726E5005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http://www.deps.gov.bn/SitePages/Census%20and%20Survey.aspx</t>
        </r>
      </text>
    </comment>
    <comment ref="X165" authorId="0" shapeId="0" xr:uid="{B8A43612-0B7F-45FF-B929-F59835FA3EE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http://www.deps.gov.bn/SitePages/Census%20and%20Survey.aspx</t>
        </r>
      </text>
    </comment>
    <comment ref="Y165" authorId="0" shapeId="0" xr:uid="{386A81DC-5671-4512-A6AA-39F7A9C7C360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http://www.deps.gov.bn/SitePages/Census%20and%20Survey.aspx</t>
        </r>
      </text>
    </comment>
    <comment ref="Z165" authorId="0" shapeId="0" xr:uid="{83E04542-28F2-4206-A2AF-4AFE33DC5025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http://www.deps.gov.bn/DEPD%20Documents%20Library/DOS/Annual%20Census%20Entprise_ACE/PR_ACE2019.pdf</t>
        </r>
      </text>
    </comment>
    <comment ref="F167" authorId="0" shapeId="0" xr:uid="{0536E4C6-9BDB-4FA6-97F4-AB7D9C2978C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https://www.bfs.admin.ch/bfs/en/home/services/geostat/swiss-federal-statistics-geodata/business-employment/swiss-federal-business-census-1995-2008.html</t>
        </r>
      </text>
    </comment>
    <comment ref="I167" authorId="0" shapeId="0" xr:uid="{AAA9E08C-1850-4991-A552-F27938A58C9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https://www.bfs.admin.ch/bfs/en/home/services/geostat/swiss-federal-statistics-geodata/business-employment/swiss-federal-business-census-1995-2008.html</t>
        </r>
      </text>
    </comment>
    <comment ref="M167" authorId="0" shapeId="0" xr:uid="{4A653D77-2300-46AE-976D-D3F5C3E323D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https://www.bfs.admin.ch/bfs/en/home/services/geostat/swiss-federal-statistics-geodata/business-employment/swiss-federal-business-census-1995-2008.html</t>
        </r>
      </text>
    </comment>
    <comment ref="P167" authorId="0" shapeId="0" xr:uid="{AAE640D5-0C61-4A1B-8748-30AF30B8B90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https://www.bfs.admin.ch/bfs/en/home/services/geostat/swiss-federal-statistics-geodata/business-employment/swiss-federal-business-census-1995-2008.html</t>
        </r>
      </text>
    </comment>
    <comment ref="H168" authorId="0" shapeId="0" xr:uid="{2A1824FA-AF4A-42FA-AFED-57B2200AC11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https://www.mof.gov.cy/mof/cystat/statistics.nsf/AdvancedSearch_en?OpenForm&amp;q=&amp;p=1&amp;w=&amp;t=&amp;s=Business%20Register&amp;L=E&amp;e=&amp;i=1</t>
        </r>
      </text>
    </comment>
    <comment ref="M168" authorId="0" shapeId="0" xr:uid="{9D3617E9-E409-4C6E-86AA-0C0AD07687B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https://www.mof.gov.cy/mof/cystat/statistics.nsf/AdvancedSearch_en?OpenForm&amp;q=&amp;p=1&amp;w=&amp;t=&amp;s=Business%20Register&amp;L=E&amp;e=&amp;i=1</t>
        </r>
      </text>
    </comment>
    <comment ref="I179" authorId="0" shapeId="0" xr:uid="{B7984604-E63B-4C19-A243-3BEAE6389D9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http://siqual.istat.it/SIQual/visualizza.do?id=8888973</t>
        </r>
      </text>
    </comment>
    <comment ref="S179" authorId="0" shapeId="0" xr:uid="{A3D83E44-5161-435D-A465-0041CB172A6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http://siqual.istat.it/SIQual/visualizza.do?id=8888973</t>
        </r>
      </text>
    </comment>
    <comment ref="G180" authorId="0" shapeId="0" xr:uid="{2A8FAC5F-43E0-47BE-83DC-B179C8D183B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http://www.stat.go.jp/english/data/jigyou/index.html</t>
        </r>
      </text>
    </comment>
    <comment ref="I180" authorId="0" shapeId="0" xr:uid="{2C83FB92-1F7B-4446-917E-1EEE77F26603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http://www.stat.go.jp/english/data/jigyou/index.html</t>
        </r>
      </text>
    </comment>
    <comment ref="L180" authorId="0" shapeId="0" xr:uid="{FFCCCED4-C6E2-476C-89F3-7750E9AA291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http://www.stat.go.jp/english/data/jigyou/index.html</t>
        </r>
      </text>
    </comment>
    <comment ref="N180" authorId="0" shapeId="0" xr:uid="{8EB87D04-CF74-4175-AF0E-0C8532249BB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http://www.stat.go.jp/english/data/jigyou/index.html</t>
        </r>
      </text>
    </comment>
    <comment ref="Q180" authorId="0" shapeId="0" xr:uid="{5060E2B8-BC89-4484-AE3C-F138887F168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http://www.stat.go.jp/english/data/e-census/index.html</t>
        </r>
      </text>
    </comment>
    <comment ref="V180" authorId="0" shapeId="0" xr:uid="{C288F77E-A856-46D8-94AD-074184707BB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http://www.stat.go.jp/english/data/e-census/index.html</t>
        </r>
      </text>
    </comment>
    <comment ref="F181" authorId="0" shapeId="0" xr:uid="{1F6F269D-7193-4E4E-B6A4-88F498469B14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http://kostat.go.kr/portal/eng/surveyOutline/3/3/index.static</t>
        </r>
      </text>
    </comment>
    <comment ref="Z181" authorId="0" shapeId="0" xr:uid="{0930342A-0976-4208-B077-D3157ED648DD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http://kostat.go.kr/portal/eng/surveyOutline/3/3/index.static</t>
        </r>
      </text>
    </comment>
    <comment ref="M182" authorId="0" shapeId="0" xr:uid="{5F62CC35-835B-4ACA-8948-A72FC1DE1A0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https://www.csb.gov.kw/Pages/Statistics?ID=8&amp;ParentCatID=1</t>
        </r>
      </text>
    </comment>
    <comment ref="L189" authorId="0" shapeId="0" xr:uid="{4AF96396-F315-4098-83B5-BBCFD89185E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https://www.psa.gov.qa/en/statistics1/StatisticsSite/Census/Pages/default.aspx</t>
        </r>
      </text>
    </comment>
    <comment ref="P189" authorId="0" shapeId="0" xr:uid="{FF3AC201-3003-4A33-8EA2-1D48D0F9857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https://www.psa.gov.qa/en/statistics1/StatisticsSite/Census/Pages/default.aspx</t>
        </r>
      </text>
    </comment>
    <comment ref="R189" authorId="0" shapeId="0" xr:uid="{A5526729-9421-4332-A1FC-4AB977E424FE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https://www.psa.gov.qa/en/statistics1/StatisticsSite/Census/Pages/default.aspx</t>
        </r>
      </text>
    </comment>
    <comment ref="W189" authorId="0" shapeId="0" xr:uid="{3C9BE6F0-E505-4E8B-843B-E9B9B2C6D69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https://www.psa.gov.qa/en/statistics1/StatisticsSite/Census/Pages/default.aspx</t>
        </r>
      </text>
    </comment>
    <comment ref="J193" authorId="0" shapeId="0" xr:uid="{71B60BE0-99AF-46AF-9DB9-22FBEDC93CD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https://www.census.gov/programs-surveys/economic-census.html</t>
        </r>
      </text>
    </comment>
    <comment ref="O193" authorId="0" shapeId="0" xr:uid="{F5956250-3323-4435-BF5E-998808D08F4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https://www.census.gov/programs-surveys/economic-census.html</t>
        </r>
      </text>
    </comment>
    <comment ref="T193" authorId="0" shapeId="0" xr:uid="{C4FD9AE8-B5A1-4FCF-8F6F-289970D558EF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https://www.census.gov/programs-surveys/economic-census.html</t>
        </r>
      </text>
    </comment>
    <comment ref="Y193" authorId="0" shapeId="0" xr:uid="{AAF43DDA-F91F-4EA7-92DE-8A1171312AD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https://www.census.gov/programs-surveys/economic-census.html</t>
        </r>
      </text>
    </comment>
  </commentList>
</comments>
</file>

<file path=xl/sharedStrings.xml><?xml version="1.0" encoding="utf-8"?>
<sst xmlns="http://schemas.openxmlformats.org/spreadsheetml/2006/main" count="923" uniqueCount="429">
  <si>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</si>
  <si>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</si>
  <si>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</si>
  <si>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</si>
  <si>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</si>
  <si>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</si>
  <si>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</si>
  <si>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</si>
  <si>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</si>
  <si>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</si>
  <si>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</si>
  <si>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</si>
  <si>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</si>
  <si>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</si>
  <si>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</si>
  <si>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</si>
  <si>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</si>
  <si>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</si>
  <si>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</si>
  <si>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</si>
  <si>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</si>
  <si>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</si>
  <si>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</si>
  <si>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</si>
  <si>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</si>
  <si>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</si>
  <si>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</si>
  <si>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</si>
  <si>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</si>
  <si>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</si>
  <si>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SC.CEN.BIZZ.ZS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</si>
  <si>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</si>
  <si>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</si>
  <si>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</si>
  <si>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</si>
  <si>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</si>
  <si>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</si>
  <si>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</si>
  <si>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</si>
  <si>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</si>
  <si>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</si>
  <si>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</si>
  <si>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</si>
  <si>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</si>
  <si>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</si>
  <si>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</si>
  <si>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</si>
  <si>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</si>
  <si>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</si>
  <si>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</si>
  <si>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</si>
  <si>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</si>
  <si>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</si>
  <si>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</si>
  <si>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</si>
  <si>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</si>
  <si>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</si>
  <si>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</si>
  <si>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</si>
  <si>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</si>
  <si>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</si>
  <si>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</si>
  <si>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</si>
  <si>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</si>
  <si>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</si>
  <si>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</si>
  <si>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</si>
  <si>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</si>
  <si>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</si>
  <si>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</si>
  <si>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</si>
  <si>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</si>
  <si>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</si>
  <si>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</si>
  <si>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</si>
  <si>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</si>
  <si>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</si>
  <si>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</si>
  <si>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</si>
  <si>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</si>
  <si>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</si>
  <si>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</si>
  <si>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</si>
  <si>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</si>
  <si>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</si>
  <si>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</si>
  <si>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</si>
  <si>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</si>
  <si>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</si>
  <si>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</si>
  <si>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</si>
  <si>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</si>
  <si>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</si>
  <si>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</si>
  <si>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</si>
  <si>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</si>
  <si>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</si>
  <si>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</si>
  <si>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</si>
  <si>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</si>
  <si>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</si>
  <si>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</si>
  <si>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</si>
  <si>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</si>
  <si>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</si>
  <si>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</si>
  <si>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</si>
  <si>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</si>
  <si>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</si>
  <si>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</si>
  <si>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</si>
  <si>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</si>
  <si>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</si>
  <si>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</si>
  <si>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</si>
  <si>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</si>
  <si>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</si>
  <si>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</si>
  <si>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</si>
  <si>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</si>
  <si>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</si>
  <si>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</si>
  <si>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</si>
  <si>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</si>
  <si>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</si>
  <si>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</si>
  <si>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</si>
  <si>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</si>
  <si>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</si>
  <si>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</si>
  <si>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</si>
  <si>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</si>
  <si>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</si>
  <si>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</si>
  <si>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</si>
  <si>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</si>
  <si>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</si>
  <si>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</si>
  <si>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</si>
  <si>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</si>
  <si>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</si>
  <si>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</si>
  <si>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</si>
  <si>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</si>
  <si>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</si>
  <si>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</si>
  <si>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</si>
  <si>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</si>
  <si>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</si>
  <si>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</si>
  <si>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</si>
  <si>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</si>
  <si>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</si>
  <si>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</si>
  <si>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</si>
  <si>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</si>
  <si>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</si>
  <si>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</si>
  <si>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</si>
  <si>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</si>
  <si>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</si>
  <si>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</si>
  <si>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</si>
  <si>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</si>
  <si>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</si>
  <si>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</si>
  <si>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</si>
  <si>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</si>
  <si>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</si>
  <si>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</si>
  <si>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</si>
  <si>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</si>
  <si>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</si>
  <si>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</si>
  <si>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</si>
  <si>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</si>
  <si>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</si>
  <si>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</si>
  <si>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</si>
  <si>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</si>
  <si>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</si>
  <si>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</si>
  <si>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</si>
  <si>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</si>
  <si>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</si>
  <si>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</si>
  <si>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</si>
  <si>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</si>
  <si>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</si>
  <si>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</si>
  <si>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</si>
  <si>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</si>
  <si>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</si>
  <si>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</si>
  <si>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</si>
  <si>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</si>
  <si>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</si>
  <si>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</si>
  <si>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</si>
  <si>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</si>
  <si>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</si>
  <si>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</si>
  <si>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</si>
  <si>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</si>
  <si>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</si>
  <si>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</si>
  <si>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</si>
  <si>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</si>
  <si>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</si>
  <si>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</si>
  <si>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</si>
  <si>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</si>
  <si>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</si>
  <si>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</si>
  <si>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</si>
  <si>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</si>
  <si>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</si>
  <si>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</si>
  <si>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</si>
  <si>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</si>
  <si>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 xml:space="preserve">NSO </t>
  </si>
  <si>
    <t>Microdata</t>
  </si>
  <si>
    <t>#</t>
  </si>
  <si>
    <t>Country</t>
  </si>
  <si>
    <t>Years</t>
  </si>
  <si>
    <t>Afghanistan</t>
  </si>
  <si>
    <t>Albania</t>
  </si>
  <si>
    <t>Register based census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</si>
  <si>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</si>
  <si>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</si>
  <si>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</si>
  <si>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</si>
  <si>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</si>
  <si>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</si>
  <si>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</si>
  <si>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</si>
  <si>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</si>
  <si>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</si>
  <si>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</si>
  <si>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</si>
  <si>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</si>
  <si>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</si>
  <si>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</si>
  <si>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</si>
  <si>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</si>
  <si>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</si>
  <si>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</si>
  <si>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</si>
  <si>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</si>
  <si>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http://slmp-550-104.slc.westdc.net/~stat54/nada/index.php/catalog#_r=1708451096459&amp;collection=&amp;country=&amp;dtype=&amp;from=1958&amp;page=1&amp;ps=&amp;sid=&amp;sk=census&amp;sort_by=rank&amp;sort_order=desc&amp;to=2023&amp;topic=&amp;view=s&amp;vk=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</si>
  <si>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</si>
  <si>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</si>
  <si>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</si>
  <si>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</si>
  <si>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</si>
  <si>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</si>
  <si>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</si>
  <si>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</si>
  <si>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</si>
  <si>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</si>
  <si>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http://www.ins.ci/templates/docss/RSE2023.pdf</t>
  </si>
  <si>
    <t>Croatia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</si>
  <si>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</si>
  <si>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</si>
  <si>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</si>
  <si>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</si>
  <si>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</si>
  <si>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</si>
  <si>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</si>
  <si>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</si>
  <si>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</si>
  <si>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</si>
  <si>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</si>
  <si>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</si>
  <si>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Gambia, The</t>
  </si>
  <si>
    <t>https://www.gbosdata.org/downloads/30-economic-census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</si>
  <si>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</si>
  <si>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</si>
  <si>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</si>
  <si>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</si>
  <si>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</si>
  <si>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</si>
  <si>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</si>
  <si>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</si>
  <si>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</si>
  <si>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</si>
  <si>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</si>
  <si>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</si>
  <si>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</si>
  <si>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</si>
  <si>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</si>
  <si>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</si>
  <si>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</si>
  <si>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</si>
  <si>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</si>
  <si>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</si>
  <si>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</si>
  <si>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</si>
  <si>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</si>
  <si>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</si>
  <si>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</si>
  <si>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</si>
  <si>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</si>
  <si>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</si>
  <si>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</si>
  <si>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</si>
  <si>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</si>
  <si>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</si>
  <si>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</si>
  <si>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</si>
  <si>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</si>
  <si>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</si>
  <si>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</si>
  <si>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</si>
  <si>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</si>
  <si>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</si>
  <si>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</si>
  <si>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</si>
  <si>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</si>
  <si>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</si>
  <si>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</si>
  <si>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</si>
  <si>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https://www.inide.gob.ni/docs/CensoEconomico/NacionalCEU/nacional.pdf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</si>
  <si>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</si>
  <si>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</si>
  <si>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</si>
  <si>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</si>
  <si>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</si>
  <si>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</si>
  <si>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</si>
  <si>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</si>
  <si>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</si>
  <si>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</si>
  <si>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</si>
  <si>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</si>
  <si>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</si>
  <si>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</si>
  <si>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</si>
  <si>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</si>
  <si>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</si>
  <si>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Seychelles</t>
  </si>
  <si>
    <t>Sierra Leone</t>
  </si>
  <si>
    <t>https://blogs.worldbank.org/opendata/how-inclusive-establishment-census-helps-sierra-leone-better-understand-its-business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</si>
  <si>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</si>
  <si>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</si>
  <si>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</si>
  <si>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</si>
  <si>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</si>
  <si>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</si>
  <si>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</si>
  <si>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</si>
  <si>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</si>
  <si>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</si>
  <si>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</si>
  <si>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</si>
  <si>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</si>
  <si>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</si>
  <si>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</si>
  <si>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</si>
  <si>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</si>
  <si>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</si>
  <si>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</si>
  <si>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</si>
  <si>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https://ec.europa.eu/eurostat/documents/11055683/17394496/t%C3%BCrkiye.pdf</t>
  </si>
  <si>
    <t>Turkmenistan</t>
  </si>
  <si>
    <t>Tuvalu</t>
  </si>
  <si>
    <t>Uganda</t>
  </si>
  <si>
    <t>Ukraine</t>
  </si>
  <si>
    <t>Uruguay</t>
  </si>
  <si>
    <t>https://www4.ine.gub.uy/Anda5/index.php/catalog/733</t>
  </si>
  <si>
    <t>Uzbekistan</t>
  </si>
  <si>
    <t>https://stat.uz/en/default/surveyss/5834-business-enterprise-survey</t>
  </si>
  <si>
    <t>Vanuatu</t>
  </si>
  <si>
    <t>Venezuela, RB</t>
  </si>
  <si>
    <t>Vietnam</t>
  </si>
  <si>
    <t>West Bank and Gaza</t>
  </si>
  <si>
    <t>Yemen, Rep.</t>
  </si>
  <si>
    <t>Zambia</t>
  </si>
  <si>
    <t>Zimbabwe</t>
  </si>
  <si>
    <t>Bahrain</t>
  </si>
  <si>
    <t>Barbados</t>
  </si>
  <si>
    <t>Czech Republic</t>
  </si>
  <si>
    <t>Greece</t>
  </si>
  <si>
    <t>Hungary</t>
  </si>
  <si>
    <t>Latvia</t>
  </si>
  <si>
    <t>Lithuania</t>
  </si>
  <si>
    <t>Oman</t>
  </si>
  <si>
    <t>Saudi Arabia</t>
  </si>
  <si>
    <t>Slovak Republic</t>
  </si>
  <si>
    <t>Andorra</t>
  </si>
  <si>
    <t>United Arab Emirates</t>
  </si>
  <si>
    <t>Australia</t>
  </si>
  <si>
    <t>Austria</t>
  </si>
  <si>
    <t>Belgium</t>
  </si>
  <si>
    <t>Bahamas, The</t>
  </si>
  <si>
    <t>Brunei Darussalam</t>
  </si>
  <si>
    <t>Canada</t>
  </si>
  <si>
    <t>Switzerland</t>
  </si>
  <si>
    <t>Cyprus</t>
  </si>
  <si>
    <t>Germany</t>
  </si>
  <si>
    <t>Denmark</t>
  </si>
  <si>
    <t>Spain</t>
  </si>
  <si>
    <t>Estonia</t>
  </si>
  <si>
    <t>Finland</t>
  </si>
  <si>
    <t>France</t>
  </si>
  <si>
    <t>United Kingdom</t>
  </si>
  <si>
    <t>Ireland</t>
  </si>
  <si>
    <t>Iceland</t>
  </si>
  <si>
    <t>Israel</t>
  </si>
  <si>
    <t>Italy</t>
  </si>
  <si>
    <t>Japan</t>
  </si>
  <si>
    <t>Korea, Rep.</t>
  </si>
  <si>
    <t>Kuwait</t>
  </si>
  <si>
    <t>Luxembourg</t>
  </si>
  <si>
    <t>Malta</t>
  </si>
  <si>
    <t>Netherlands</t>
  </si>
  <si>
    <t>Norway</t>
  </si>
  <si>
    <t>New Zealand</t>
  </si>
  <si>
    <t>Portugal</t>
  </si>
  <si>
    <t>Qatar</t>
  </si>
  <si>
    <t>Singapore</t>
  </si>
  <si>
    <t>Slovenia</t>
  </si>
  <si>
    <t>Sweden</t>
  </si>
  <si>
    <t>United States</t>
  </si>
  <si>
    <t>Sources</t>
  </si>
  <si>
    <t>https://unstats.un.org/wiesbadengroup/</t>
  </si>
  <si>
    <t>https://e-justice.europa.eu/106/EN/business_registers_in_eu_countries?INTERNATIONAL&amp;member=1</t>
  </si>
  <si>
    <t>https://opencorporates.com/registers</t>
  </si>
  <si>
    <t>NSO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</si>
</sst>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 Light"/>
      <family val="2"/>
      <scheme val="major"/>
    </font>
    <font>
      <b/>
      <sz val="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</font>
    <font>
      <sz val="9"/>
      <color indexed="81"/>
      <name val="Tahoma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6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/>
    <xf numFmtId="0" fontId="0" fillId="2" borderId="0" xfId="0" applyFill="1"/>
    <xf numFmtId="0" fontId="0" fillId="3" borderId="0" xfId="0" applyFill="1"/>
    <xf numFmtId="0" fontId="10" fillId="5" borderId="0" xfId="1" applyFont="1" applyFill="1" applyAlignment="1">
      <alignment horizontal="left"/>
    </xf>
    <xf numFmtId="0" fontId="11" fillId="4" borderId="0" xfId="0" applyFont="1" applyFill="1"/>
    <xf numFmtId="0" fontId="7" fillId="4" borderId="1" xfId="0" applyFont="1" applyFill="1" applyBorder="1"/>
    <xf numFmtId="0" fontId="7" fillId="5" borderId="1" xfId="0" applyFont="1" applyFill="1" applyBorder="1"/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16" fillId="0" borderId="0" xfId="2" applyFill="1"/>
    <xf numFmtId="0" fontId="7" fillId="6" borderId="1" xfId="0" applyFont="1" applyFill="1" applyBorder="1"/>
    <xf numFmtId="0" fontId="0" fillId="0" borderId="1" xfId="0" applyBorder="1"/>
    <xf numFmtId="0" fontId="0" fillId="5" borderId="1" xfId="0" applyFill="1" applyBorder="1"/>
    <xf numFmtId="0" fontId="3" fillId="0" borderId="0" xfId="0" applyFont="1" applyAlignment="1">
      <alignment horizontal="left" vertical="center" wrapText="1"/>
    </xf>
    <xf numFmtId="0" fontId="7" fillId="0" borderId="0" xfId="0" applyFont="1"/>
    <xf numFmtId="0" fontId="16" fillId="0" borderId="0" xfId="2"/>
    <xf numFmtId="0" fontId="7" fillId="7" borderId="0" xfId="0" applyFont="1" applyFill="1"/>
  </cellXfs>
  <cellStyles count="3">
    <cellStyle name="Hyperlink" xfId="2" builtinId="8"/>
    <cellStyle name="Normal" xfId="0" builtinId="0"/>
    <cellStyle name="Normal_cty99" xfId="1" xr:uid="{5F438AB6-59E3-477D-B65A-7BF3A4121276}"/>
  </cellStyles>
  <dxfs count="0"/>
  <tableStyles count="0" defaultTableStyle="TableStyleMedium2" defaultPivotStyle="PivotStyleLight16"/>
  <colors>
    <mruColors>
      <color rgb="FFCC99FF"/>
      <color rgb="FFCC66FF"/>
      <color rgb="FF9933FF"/>
      <color rgb="FFFF6600"/>
      <color rgb="FF99FF33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corporates.com/regis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434C-63D5-42CF-A73F-059DE930C458}">
  <dimension ref="A1:AB192"/>
  <sheetViews>
    <sheetView workbookViewId="0">
      <selection activeCell="B2" sqref="B2"/>
    </sheetView>
  </sheetViews>
  <sheetFormatPr defaultRowHeight="15"/>
  <cols>
    <col min="2" max="2" width="18.140625" customWidth="1"/>
  </cols>
  <sheetData>
    <row r="1" spans="1:2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 t="s">
        <v>26</v>
      </c>
      <c r="B2" t="s">
        <v>27</v>
      </c>
      <c r="C2" t="s">
        <v>28</v>
      </c>
    </row>
    <row r="3" spans="1:28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</row>
    <row r="16" spans="1:28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</row>
    <row r="19" spans="1:28">
      <c r="A19" t="s">
        <v>46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t="s">
        <v>48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</row>
    <row r="24" spans="1:28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</row>
    <row r="30" spans="1:28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</row>
    <row r="42" spans="1:28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73</v>
      </c>
      <c r="B46" t="s">
        <v>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t="s">
        <v>86</v>
      </c>
      <c r="B59" t="s">
        <v>30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t="s">
        <v>87</v>
      </c>
      <c r="B60" t="s">
        <v>30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</row>
    <row r="65" spans="1:28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</row>
    <row r="67" spans="1:28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</row>
    <row r="71" spans="1:28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</row>
    <row r="74" spans="1:28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</row>
    <row r="78" spans="1:28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</row>
    <row r="79" spans="1:28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</row>
    <row r="84" spans="1:28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</row>
    <row r="85" spans="1:28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</row>
    <row r="95" spans="1:28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</row>
    <row r="105" spans="1:28">
      <c r="A105" t="s">
        <v>132</v>
      </c>
      <c r="B105" t="s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</row>
    <row r="109" spans="1:28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</row>
    <row r="131" spans="1:28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</row>
    <row r="144" spans="1:28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</row>
    <row r="145" spans="1:28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187</v>
      </c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 t="s">
        <v>189</v>
      </c>
      <c r="B162" t="s">
        <v>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0</v>
      </c>
    </row>
    <row r="165" spans="1:28">
      <c r="A165" t="s">
        <v>192</v>
      </c>
      <c r="B165" t="s">
        <v>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 t="s">
        <v>193</v>
      </c>
      <c r="B166" t="s">
        <v>30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 t="s">
        <v>194</v>
      </c>
      <c r="B167" t="s">
        <v>30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 t="s">
        <v>195</v>
      </c>
      <c r="B168" t="s">
        <v>30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196</v>
      </c>
      <c r="B169" t="s">
        <v>30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197</v>
      </c>
      <c r="B170" t="s">
        <v>30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198</v>
      </c>
      <c r="B171" t="s">
        <v>30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t="s">
        <v>199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200</v>
      </c>
      <c r="B173" t="s">
        <v>30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 t="s">
        <v>201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>
      <c r="A180" t="s">
        <v>207</v>
      </c>
      <c r="B180" t="s">
        <v>30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</row>
    <row r="181" spans="1:28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209</v>
      </c>
      <c r="B182" t="s">
        <v>30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 t="s">
        <v>211</v>
      </c>
      <c r="B184" t="s">
        <v>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212</v>
      </c>
      <c r="B185" t="s">
        <v>30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t="s">
        <v>213</v>
      </c>
      <c r="B186" t="s">
        <v>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t="s">
        <v>214</v>
      </c>
      <c r="B187" t="s">
        <v>30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>
      <c r="A188" t="s">
        <v>215</v>
      </c>
      <c r="B188" t="s">
        <v>30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217</v>
      </c>
      <c r="B190" t="s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 t="s">
        <v>218</v>
      </c>
      <c r="B191" t="s">
        <v>30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>
      <c r="A192" t="s">
        <v>219</v>
      </c>
      <c r="B192" t="s">
        <v>30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D392-491F-4A62-9326-5E34A5598B2B}">
  <dimension ref="A1:CL193"/>
  <sheetViews>
    <sheetView tabSelected="1" zoomScale="90" zoomScaleNormal="90" workbookViewId="0">
      <pane xSplit="3" ySplit="3" topLeftCell="V160" activePane="bottomRight" state="frozen"/>
      <selection pane="bottomRight" activeCell="AF164" sqref="AF164:AF174"/>
      <selection pane="bottomLeft" activeCell="A3" sqref="A3"/>
      <selection pane="topRight" activeCell="E1" sqref="E1"/>
    </sheetView>
  </sheetViews>
  <sheetFormatPr defaultRowHeight="15"/>
  <cols>
    <col min="1" max="1" width="4.140625" style="1" customWidth="1"/>
    <col min="2" max="2" width="8.5703125" style="2" bestFit="1" customWidth="1"/>
    <col min="3" max="3" width="20.5703125" style="2" bestFit="1" customWidth="1"/>
    <col min="4" max="5" width="7.42578125" style="2" customWidth="1"/>
    <col min="6" max="25" width="7.42578125" customWidth="1"/>
    <col min="26" max="32" width="9.140625" customWidth="1"/>
    <col min="33" max="33" width="23" bestFit="1" customWidth="1"/>
    <col min="34" max="34" width="22.140625" customWidth="1"/>
    <col min="35" max="90" width="8.7109375"/>
  </cols>
  <sheetData>
    <row r="1" spans="1:33">
      <c r="C1"/>
      <c r="E1" s="19" t="s">
        <v>220</v>
      </c>
      <c r="G1" s="20" t="s">
        <v>221</v>
      </c>
    </row>
    <row r="2" spans="1:33">
      <c r="B2" s="1">
        <v>1</v>
      </c>
      <c r="C2" s="1">
        <f>+B2+1</f>
        <v>2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1">
        <v>28</v>
      </c>
      <c r="AC2" s="1"/>
      <c r="AD2" s="1"/>
      <c r="AE2" s="1"/>
      <c r="AF2" s="1"/>
      <c r="AG2" s="1">
        <v>29</v>
      </c>
    </row>
    <row r="3" spans="1:33">
      <c r="A3" s="3" t="s">
        <v>222</v>
      </c>
      <c r="B3" s="4" t="s">
        <v>26</v>
      </c>
      <c r="C3" s="4" t="s">
        <v>223</v>
      </c>
      <c r="D3" s="15">
        <v>1996</v>
      </c>
      <c r="E3" s="15">
        <v>1997</v>
      </c>
      <c r="F3" s="15">
        <v>1998</v>
      </c>
      <c r="G3" s="15">
        <v>1999</v>
      </c>
      <c r="H3" s="15">
        <v>2000</v>
      </c>
      <c r="I3" s="15">
        <v>2001</v>
      </c>
      <c r="J3" s="15">
        <v>2002</v>
      </c>
      <c r="K3" s="15">
        <v>2003</v>
      </c>
      <c r="L3" s="15">
        <v>2004</v>
      </c>
      <c r="M3" s="15">
        <v>2005</v>
      </c>
      <c r="N3" s="15">
        <v>2006</v>
      </c>
      <c r="O3" s="15">
        <v>2007</v>
      </c>
      <c r="P3" s="15">
        <v>2008</v>
      </c>
      <c r="Q3" s="15">
        <v>2009</v>
      </c>
      <c r="R3" s="15">
        <v>2010</v>
      </c>
      <c r="S3" s="15">
        <v>2011</v>
      </c>
      <c r="T3" s="15">
        <v>2012</v>
      </c>
      <c r="U3" s="15">
        <v>2013</v>
      </c>
      <c r="V3" s="15">
        <v>2014</v>
      </c>
      <c r="W3" s="15">
        <v>2015</v>
      </c>
      <c r="X3" s="15">
        <v>2016</v>
      </c>
      <c r="Y3" s="15">
        <v>2017</v>
      </c>
      <c r="Z3" s="15">
        <v>2018</v>
      </c>
      <c r="AA3" s="4">
        <v>2019</v>
      </c>
      <c r="AB3" s="15">
        <v>2020</v>
      </c>
      <c r="AC3" s="32">
        <v>2021</v>
      </c>
      <c r="AD3" s="32">
        <v>2022</v>
      </c>
      <c r="AE3" s="32">
        <v>2023</v>
      </c>
      <c r="AF3" s="32">
        <v>2024</v>
      </c>
      <c r="AG3" t="s">
        <v>224</v>
      </c>
    </row>
    <row r="4" spans="1:33">
      <c r="A4" s="5">
        <v>1</v>
      </c>
      <c r="B4" s="6" t="s">
        <v>29</v>
      </c>
      <c r="C4" s="7" t="s">
        <v>225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33"/>
      <c r="AD4" s="33"/>
      <c r="AE4" s="33"/>
      <c r="AF4" s="33"/>
      <c r="AG4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"")&amp;IF($AC4=1, RIGHT(AC$3,4)&amp;", ", "")&amp;IF($AD4=1, RIGHT(AD$3,4)&amp;", ", "")&amp;IF($AE4=1, RIGHT(AE$3,4)&amp;", ", "")&amp;IF($AF4=1, RIGHT(AF$3,4)&amp;", ", "")</f>
        <v/>
      </c>
    </row>
    <row r="5" spans="1:33">
      <c r="A5" s="5">
        <f t="shared" ref="A5:A68" si="0">1+A4</f>
        <v>2</v>
      </c>
      <c r="B5" s="6" t="s">
        <v>31</v>
      </c>
      <c r="C5" s="7" t="s">
        <v>226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22">
        <v>1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33"/>
      <c r="AD5" s="33"/>
      <c r="AE5" s="33"/>
      <c r="AF5" s="33"/>
      <c r="AG5" t="s">
        <v>227</v>
      </c>
    </row>
    <row r="6" spans="1:33">
      <c r="A6" s="5">
        <f t="shared" si="0"/>
        <v>3</v>
      </c>
      <c r="B6" s="6" t="s">
        <v>32</v>
      </c>
      <c r="C6" s="7" t="s">
        <v>228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22">
        <v>1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33"/>
      <c r="AD6" s="33"/>
      <c r="AE6" s="33"/>
      <c r="AF6" s="33"/>
      <c r="AG6" t="str">
        <f>+IF($D6=1,RIGHT(D$3,4)&amp;", ","")&amp;IF($E6=1,RIGHT(E$3,4)&amp;", ","")&amp;IF($F6=1,RIGHT(F$3,4)&amp;", ","")&amp;IF($G6=1,RIGHT(G$3,4)&amp;", ","")&amp;IF($H6=1,RIGHT(H$3,4)&amp;", ","")&amp;IF($I6=1,RIGHT(I$3,4)&amp;", ","")&amp;IF($J6=1,RIGHT(J$3,4)&amp;", ","")&amp;IF($K6=1,RIGHT(K$3,4)&amp;", ","")&amp;IF($L6=1,RIGHT(L$3,4)&amp;", ","")&amp;IF($M6=1,RIGHT(M$3,4)&amp;", ","")&amp;IF($N6=1,RIGHT(N$3,4)&amp;", ","")&amp;IF($O6=1,RIGHT(O$3,4)&amp;", ","")&amp;IF($P6=1,RIGHT(P$3,4)&amp;", ","")&amp;IF($Q6=1,RIGHT(Q$3,4)&amp;", ","")&amp;IF($R6=1,RIGHT(R$3,4)&amp;", ","")&amp;IF($S6=1,RIGHT(S$3,4)&amp;", ","")&amp;IF($T6=1,RIGHT(T$3,4)&amp;", ","")&amp;IF($U6=1,RIGHT(U$3,4)&amp;", ","")&amp;IF($V6=1,RIGHT(V$3,4)&amp;", ","")&amp;IF($W6=1,RIGHT(W$3,4)&amp;", ","")&amp;IF($X6=1,RIGHT(X$3,4)&amp;", ","")&amp;IF($Y6=1,RIGHT(Y$3,4)&amp;", ","")&amp;IF($Z6=1, RIGHT(Z$3,4)&amp;", ", "")&amp;IF($AA6=1, RIGHT(AA$3,4)&amp;", ", "")&amp;IF($AB6=1, RIGHT(AB$3,4)&amp;", ", "")&amp;IF($AC6=1, RIGHT(AC$3,4)&amp;", ", "")&amp;IF($AD6=1, RIGHT(AD$3,4)&amp;", ", "")&amp;IF($AE6=1, RIGHT(AE$3,4)&amp;", ", "")&amp;IF($AF6=1, RIGHT(AF$3,4)&amp;", ", "")</f>
        <v xml:space="preserve">2011, </v>
      </c>
    </row>
    <row r="7" spans="1:33">
      <c r="A7" s="5">
        <f t="shared" si="0"/>
        <v>4</v>
      </c>
      <c r="B7" s="9" t="s">
        <v>33</v>
      </c>
      <c r="C7" s="10" t="s">
        <v>229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22">
        <v>1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29">
        <v>1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33">
        <v>1</v>
      </c>
      <c r="AD7" s="33"/>
      <c r="AE7" s="33"/>
      <c r="AF7" s="33"/>
      <c r="AG7" t="str">
        <f>+IF($D7=1,RIGHT(D$3,4)&amp;", ","")&amp;IF($E7=1,RIGHT(E$3,4)&amp;", ","")&amp;IF($F7=1,RIGHT(F$3,4)&amp;", ","")&amp;IF($G7=1,RIGHT(G$3,4)&amp;", ","")&amp;IF($H7=1,RIGHT(H$3,4)&amp;", ","")&amp;IF($I7=1,RIGHT(I$3,4)&amp;", ","")&amp;IF($J7=1,RIGHT(J$3,4)&amp;", ","")&amp;IF($K7=1,RIGHT(K$3,4)&amp;", ","")&amp;IF($L7=1,RIGHT(L$3,4)&amp;", ","")&amp;IF($M7=1,RIGHT(M$3,4)&amp;", ","")&amp;IF($N7=1,RIGHT(N$3,4)&amp;", ","")&amp;IF($O7=1,RIGHT(O$3,4)&amp;", ","")&amp;IF($P7=1,RIGHT(P$3,4)&amp;", ","")&amp;IF($Q7=1,RIGHT(Q$3,4)&amp;", ","")&amp;IF($R7=1,RIGHT(R$3,4)&amp;", ","")&amp;IF($S7=1,RIGHT(S$3,4)&amp;", ","")&amp;IF($T7=1,RIGHT(T$3,4)&amp;", ","")&amp;IF($U7=1,RIGHT(U$3,4)&amp;", ","")&amp;IF($V7=1,RIGHT(V$3,4)&amp;", ","")&amp;IF($W7=1,RIGHT(W$3,4)&amp;", ","")&amp;IF($X7=1,RIGHT(X$3,4)&amp;", ","")&amp;IF($Y7=1,RIGHT(Y$3,4)&amp;", ","")&amp;IF($Z7=1, RIGHT(Z$3,4)&amp;", ", "")&amp;IF($AA7=1, RIGHT(AA$3,4)&amp;", ", "")&amp;IF($AB7=1, RIGHT(AB$3,4)&amp;", ", "")&amp;IF($AC7=1, RIGHT(AC$3,4)&amp;", ", "")&amp;IF($AD7=1, RIGHT(AD$3,4)&amp;", ", "")&amp;IF($AE7=1, RIGHT(AE$3,4)&amp;", ", "")&amp;IF($AF7=1, RIGHT(AF$3,4)&amp;", ", "")</f>
        <v xml:space="preserve">2003, 2011, 2021, </v>
      </c>
    </row>
    <row r="8" spans="1:33">
      <c r="A8" s="5">
        <f t="shared" si="0"/>
        <v>5</v>
      </c>
      <c r="B8" s="9" t="s">
        <v>34</v>
      </c>
      <c r="C8" s="10" t="s">
        <v>230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33"/>
      <c r="AD8" s="33"/>
      <c r="AE8" s="33"/>
      <c r="AF8" s="33"/>
      <c r="AG8" t="s">
        <v>227</v>
      </c>
    </row>
    <row r="9" spans="1:33">
      <c r="A9" s="5">
        <f t="shared" si="0"/>
        <v>6</v>
      </c>
      <c r="B9" s="6" t="s">
        <v>35</v>
      </c>
      <c r="C9" s="7" t="s">
        <v>231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1</v>
      </c>
      <c r="AC9" s="33"/>
      <c r="AD9" s="33"/>
      <c r="AE9" s="33"/>
      <c r="AF9" s="33"/>
      <c r="AG9" t="str">
        <f>+IF($D9=1,RIGHT(D$3,4)&amp;", ","")&amp;IF($E9=1,RIGHT(E$3,4)&amp;", ","")&amp;IF($F9=1,RIGHT(F$3,4)&amp;", ","")&amp;IF($G9=1,RIGHT(G$3,4)&amp;", ","")&amp;IF($H9=1,RIGHT(H$3,4)&amp;", ","")&amp;IF($I9=1,RIGHT(I$3,4)&amp;", ","")&amp;IF($J9=1,RIGHT(J$3,4)&amp;", ","")&amp;IF($K9=1,RIGHT(K$3,4)&amp;", ","")&amp;IF($L9=1,RIGHT(L$3,4)&amp;", ","")&amp;IF($M9=1,RIGHT(M$3,4)&amp;", ","")&amp;IF($N9=1,RIGHT(N$3,4)&amp;", ","")&amp;IF($O9=1,RIGHT(O$3,4)&amp;", ","")&amp;IF($P9=1,RIGHT(P$3,4)&amp;", ","")&amp;IF($Q9=1,RIGHT(Q$3,4)&amp;", ","")&amp;IF($R9=1,RIGHT(R$3,4)&amp;", ","")&amp;IF($S9=1,RIGHT(S$3,4)&amp;", ","")&amp;IF($T9=1,RIGHT(T$3,4)&amp;", ","")&amp;IF($U9=1,RIGHT(U$3,4)&amp;", ","")&amp;IF($V9=1,RIGHT(V$3,4)&amp;", ","")&amp;IF($W9=1,RIGHT(W$3,4)&amp;", ","")&amp;IF($X9=1,RIGHT(X$3,4)&amp;", ","")&amp;IF($Y9=1,RIGHT(Y$3,4)&amp;", ","")&amp;IF($Z9=1, RIGHT(Z$3,4)&amp;", ", "")&amp;IF($AA9=1, RIGHT(AA$3,4)&amp;", ", "")&amp;IF($AB9=1, RIGHT(AB$3,4)&amp;", ", "")&amp;IF($AC9=1, RIGHT(AC$3,4)&amp;", ", "")&amp;IF($AD9=1, RIGHT(AD$3,4)&amp;", ", "")&amp;IF($AE9=1, RIGHT(AE$3,4)&amp;", ", "")&amp;IF($AF9=1, RIGHT(AF$3,4)&amp;", ", "")</f>
        <v xml:space="preserve">2020, </v>
      </c>
    </row>
    <row r="10" spans="1:33">
      <c r="A10" s="5">
        <f t="shared" si="0"/>
        <v>7</v>
      </c>
      <c r="B10" s="6" t="s">
        <v>36</v>
      </c>
      <c r="C10" s="7" t="s">
        <v>232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33"/>
      <c r="AD10" s="33"/>
      <c r="AE10" s="33"/>
      <c r="AF10" s="33"/>
      <c r="AG10" t="s">
        <v>227</v>
      </c>
    </row>
    <row r="11" spans="1:33">
      <c r="A11" s="5">
        <f t="shared" si="0"/>
        <v>8</v>
      </c>
      <c r="B11" s="6" t="s">
        <v>37</v>
      </c>
      <c r="C11" s="7" t="s">
        <v>233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33"/>
      <c r="AD11" s="33"/>
      <c r="AE11" s="33"/>
      <c r="AF11" s="33"/>
      <c r="AG11" t="s">
        <v>227</v>
      </c>
    </row>
    <row r="12" spans="1:33">
      <c r="A12" s="5">
        <f t="shared" si="0"/>
        <v>9</v>
      </c>
      <c r="B12" s="6" t="s">
        <v>38</v>
      </c>
      <c r="C12" s="7" t="s">
        <v>234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22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22">
        <v>1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33"/>
      <c r="AD12" s="33"/>
      <c r="AE12" s="33"/>
      <c r="AF12" s="33"/>
      <c r="AG12" t="s">
        <v>227</v>
      </c>
    </row>
    <row r="13" spans="1:33">
      <c r="A13" s="5">
        <f t="shared" si="0"/>
        <v>10</v>
      </c>
      <c r="B13" s="13" t="s">
        <v>39</v>
      </c>
      <c r="C13" s="12" t="s">
        <v>235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33"/>
      <c r="AD13" s="33"/>
      <c r="AE13" s="33"/>
      <c r="AF13" s="33"/>
      <c r="AG13" t="s">
        <v>227</v>
      </c>
    </row>
    <row r="14" spans="1:33">
      <c r="A14" s="5">
        <f t="shared" si="0"/>
        <v>11</v>
      </c>
      <c r="B14" s="6" t="s">
        <v>40</v>
      </c>
      <c r="C14" s="7" t="s">
        <v>236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33"/>
      <c r="AD14" s="33"/>
      <c r="AE14" s="33"/>
      <c r="AF14" s="33"/>
      <c r="AG14" t="s">
        <v>227</v>
      </c>
    </row>
    <row r="15" spans="1:33">
      <c r="A15" s="5">
        <f t="shared" si="0"/>
        <v>12</v>
      </c>
      <c r="B15" s="6" t="s">
        <v>41</v>
      </c>
      <c r="C15" s="7" t="s">
        <v>237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22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33"/>
      <c r="AD15" s="33"/>
      <c r="AE15" s="33"/>
      <c r="AF15" s="33"/>
      <c r="AG15" t="str">
        <f>+IF($D15=1,RIGHT(D$3,4)&amp;", ","")&amp;IF($E15=1,RIGHT(E$3,4)&amp;", ","")&amp;IF($F15=1,RIGHT(F$3,4)&amp;", ","")&amp;IF($G15=1,RIGHT(G$3,4)&amp;", ","")&amp;IF($H15=1,RIGHT(H$3,4)&amp;", ","")&amp;IF($I15=1,RIGHT(I$3,4)&amp;", ","")&amp;IF($J15=1,RIGHT(J$3,4)&amp;", ","")&amp;IF($K15=1,RIGHT(K$3,4)&amp;", ","")&amp;IF($L15=1,RIGHT(L$3,4)&amp;", ","")&amp;IF($M15=1,RIGHT(M$3,4)&amp;", ","")&amp;IF($N15=1,RIGHT(N$3,4)&amp;", ","")&amp;IF($O15=1,RIGHT(O$3,4)&amp;", ","")&amp;IF($P15=1,RIGHT(P$3,4)&amp;", ","")&amp;IF($Q15=1,RIGHT(Q$3,4)&amp;", ","")&amp;IF($R15=1,RIGHT(R$3,4)&amp;", ","")&amp;IF($S15=1,RIGHT(S$3,4)&amp;", ","")&amp;IF($T15=1,RIGHT(T$3,4)&amp;", ","")&amp;IF($U15=1,RIGHT(U$3,4)&amp;", ","")&amp;IF($V15=1,RIGHT(V$3,4)&amp;", ","")&amp;IF($W15=1,RIGHT(W$3,4)&amp;", ","")&amp;IF($X15=1,RIGHT(X$3,4)&amp;", ","")&amp;IF($Y15=1,RIGHT(Y$3,4)&amp;", ","")&amp;IF($Z15=1, RIGHT(Z$3,4)&amp;", ", "")&amp;IF($AA15=1, RIGHT(AA$3,4)&amp;", ", "")&amp;IF($AB15=1, RIGHT(AB$3,4)&amp;", ", "")&amp;IF($AC15=1, RIGHT(AC$3,4)&amp;", ", "")&amp;IF($AD15=1, RIGHT(AD$3,4)&amp;", ", "")&amp;IF($AE15=1, RIGHT(AE$3,4)&amp;", ", "")&amp;IF($AF15=1, RIGHT(AF$3,4)&amp;", ", "")</f>
        <v xml:space="preserve">2008, </v>
      </c>
    </row>
    <row r="16" spans="1:33">
      <c r="A16" s="5">
        <f t="shared" si="0"/>
        <v>13</v>
      </c>
      <c r="B16" s="6" t="s">
        <v>42</v>
      </c>
      <c r="C16" s="7" t="s">
        <v>238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22">
        <v>1</v>
      </c>
      <c r="Z16" s="8">
        <v>0</v>
      </c>
      <c r="AA16" s="8">
        <v>0</v>
      </c>
      <c r="AB16" s="8">
        <v>0</v>
      </c>
      <c r="AC16" s="33"/>
      <c r="AD16" s="33"/>
      <c r="AE16" s="33"/>
      <c r="AF16" s="33"/>
      <c r="AG16" t="str">
        <f>+IF($D16=1,RIGHT(D$3,4)&amp;", ","")&amp;IF($E16=1,RIGHT(E$3,4)&amp;", ","")&amp;IF($F16=1,RIGHT(F$3,4)&amp;", ","")&amp;IF($G16=1,RIGHT(G$3,4)&amp;", ","")&amp;IF($H16=1,RIGHT(H$3,4)&amp;", ","")&amp;IF($I16=1,RIGHT(I$3,4)&amp;", ","")&amp;IF($J16=1,RIGHT(J$3,4)&amp;", ","")&amp;IF($K16=1,RIGHT(K$3,4)&amp;", ","")&amp;IF($L16=1,RIGHT(L$3,4)&amp;", ","")&amp;IF($M16=1,RIGHT(M$3,4)&amp;", ","")&amp;IF($N16=1,RIGHT(N$3,4)&amp;", ","")&amp;IF($O16=1,RIGHT(O$3,4)&amp;", ","")&amp;IF($P16=1,RIGHT(P$3,4)&amp;", ","")&amp;IF($Q16=1,RIGHT(Q$3,4)&amp;", ","")&amp;IF($R16=1,RIGHT(R$3,4)&amp;", ","")&amp;IF($S16=1,RIGHT(S$3,4)&amp;", ","")&amp;IF($T16=1,RIGHT(T$3,4)&amp;", ","")&amp;IF($U16=1,RIGHT(U$3,4)&amp;", ","")&amp;IF($V16=1,RIGHT(V$3,4)&amp;", ","")&amp;IF($W16=1,RIGHT(W$3,4)&amp;", ","")&amp;IF($X16=1,RIGHT(X$3,4)&amp;", ","")&amp;IF($Y16=1,RIGHT(Y$3,4)&amp;", ","")&amp;IF($Z16=1, RIGHT(Z$3,4)&amp;", ", "")&amp;IF($AA16=1, RIGHT(AA$3,4)&amp;", ", "")&amp;IF($AB16=1, RIGHT(AB$3,4)&amp;", ", "")&amp;IF($AC16=1, RIGHT(AC$3,4)&amp;", ", "")&amp;IF($AD16=1, RIGHT(AD$3,4)&amp;", ", "")&amp;IF($AE16=1, RIGHT(AE$3,4)&amp;", ", "")&amp;IF($AF16=1, RIGHT(AF$3,4)&amp;", ", "")</f>
        <v xml:space="preserve">2017, </v>
      </c>
    </row>
    <row r="17" spans="1:34">
      <c r="A17" s="5">
        <f t="shared" si="0"/>
        <v>14</v>
      </c>
      <c r="B17" s="6" t="s">
        <v>43</v>
      </c>
      <c r="C17" s="7" t="s">
        <v>239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33"/>
      <c r="AD17" s="33"/>
      <c r="AE17" s="33"/>
      <c r="AF17" s="33"/>
      <c r="AG17" t="s">
        <v>227</v>
      </c>
    </row>
    <row r="18" spans="1:34">
      <c r="A18" s="5">
        <f t="shared" si="0"/>
        <v>15</v>
      </c>
      <c r="B18" s="6" t="s">
        <v>44</v>
      </c>
      <c r="C18" s="7" t="s">
        <v>240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33"/>
      <c r="AD18" s="33"/>
      <c r="AE18" s="33"/>
      <c r="AF18" s="33"/>
      <c r="AG18" t="s">
        <v>227</v>
      </c>
    </row>
    <row r="19" spans="1:34">
      <c r="A19" s="5">
        <f t="shared" si="0"/>
        <v>16</v>
      </c>
      <c r="B19" s="9" t="s">
        <v>45</v>
      </c>
      <c r="C19" s="10" t="s">
        <v>241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9">
        <v>1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19">
        <v>1</v>
      </c>
      <c r="Y19" s="8">
        <v>0</v>
      </c>
      <c r="Z19" s="8">
        <v>0</v>
      </c>
      <c r="AA19" s="8">
        <v>0</v>
      </c>
      <c r="AB19" s="8">
        <v>0</v>
      </c>
      <c r="AC19" s="33"/>
      <c r="AD19" s="33"/>
      <c r="AE19" s="33"/>
      <c r="AF19" s="33"/>
      <c r="AG19" t="s">
        <v>227</v>
      </c>
    </row>
    <row r="20" spans="1:34">
      <c r="A20" s="5">
        <f t="shared" si="0"/>
        <v>17</v>
      </c>
      <c r="B20" s="6" t="s">
        <v>46</v>
      </c>
      <c r="C20" s="7" t="s">
        <v>242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33"/>
      <c r="AD20" s="33"/>
      <c r="AE20" s="33"/>
      <c r="AF20" s="33"/>
      <c r="AG20" t="s">
        <v>227</v>
      </c>
    </row>
    <row r="21" spans="1:34">
      <c r="A21" s="5">
        <f t="shared" si="0"/>
        <v>18</v>
      </c>
      <c r="B21" s="6" t="s">
        <v>47</v>
      </c>
      <c r="C21" s="7" t="s">
        <v>243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33"/>
      <c r="AD21" s="33"/>
      <c r="AE21" s="33"/>
      <c r="AF21" s="33"/>
      <c r="AG21" t="s">
        <v>227</v>
      </c>
    </row>
    <row r="22" spans="1:34">
      <c r="A22" s="5">
        <f t="shared" si="0"/>
        <v>19</v>
      </c>
      <c r="B22" s="6" t="s">
        <v>48</v>
      </c>
      <c r="C22" s="7" t="s">
        <v>244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33"/>
      <c r="AD22" s="33"/>
      <c r="AE22" s="33"/>
      <c r="AF22" s="33"/>
      <c r="AG22" t="s">
        <v>227</v>
      </c>
    </row>
    <row r="23" spans="1:34">
      <c r="A23" s="5">
        <f t="shared" si="0"/>
        <v>20</v>
      </c>
      <c r="B23" s="6" t="s">
        <v>49</v>
      </c>
      <c r="C23" s="7" t="s">
        <v>245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33"/>
      <c r="AD23" s="33"/>
      <c r="AE23" s="33"/>
      <c r="AF23" s="33"/>
      <c r="AG23" t="str">
        <f>+IF($D23=1,RIGHT(D$3,4)&amp;", ","")&amp;IF($E23=1,RIGHT(E$3,4)&amp;", ","")&amp;IF($F23=1,RIGHT(F$3,4)&amp;", ","")&amp;IF($G23=1,RIGHT(G$3,4)&amp;", ","")&amp;IF($H23=1,RIGHT(H$3,4)&amp;", ","")&amp;IF($I23=1,RIGHT(I$3,4)&amp;", ","")&amp;IF($J23=1,RIGHT(J$3,4)&amp;", ","")&amp;IF($K23=1,RIGHT(K$3,4)&amp;", ","")&amp;IF($L23=1,RIGHT(L$3,4)&amp;", ","")&amp;IF($M23=1,RIGHT(M$3,4)&amp;", ","")&amp;IF($N23=1,RIGHT(N$3,4)&amp;", ","")&amp;IF($O23=1,RIGHT(O$3,4)&amp;", ","")&amp;IF($P23=1,RIGHT(P$3,4)&amp;", ","")&amp;IF($Q23=1,RIGHT(Q$3,4)&amp;", ","")&amp;IF($R23=1,RIGHT(R$3,4)&amp;", ","")&amp;IF($S23=1,RIGHT(S$3,4)&amp;", ","")&amp;IF($T23=1,RIGHT(T$3,4)&amp;", ","")&amp;IF($U23=1,RIGHT(U$3,4)&amp;", ","")&amp;IF($V23=1,RIGHT(V$3,4)&amp;", ","")&amp;IF($W23=1,RIGHT(W$3,4)&amp;", ","")&amp;IF($X23=1,RIGHT(X$3,4)&amp;", ","")&amp;IF($Y23=1,RIGHT(Y$3,4)&amp;", ","")&amp;IF($Z23=1, RIGHT(Z$3,4)&amp;", ", "")&amp;IF($AA23=1, RIGHT(AA$3,4)&amp;", ", "")&amp;IF($AB23=1, RIGHT(AB$3,4)&amp;", ", "")&amp;IF($AC23=1, RIGHT(AC$3,4)&amp;", ", "")&amp;IF($AD23=1, RIGHT(AD$3,4)&amp;", ", "")&amp;IF($AE23=1, RIGHT(AE$3,4)&amp;", ", "")&amp;IF($AF23=1, RIGHT(AF$3,4)&amp;", ", "")</f>
        <v/>
      </c>
    </row>
    <row r="24" spans="1:34">
      <c r="A24" s="5">
        <f t="shared" si="0"/>
        <v>21</v>
      </c>
      <c r="B24" s="9" t="s">
        <v>50</v>
      </c>
      <c r="C24" s="10" t="s">
        <v>246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22">
        <v>1</v>
      </c>
      <c r="AA24" s="8">
        <v>0</v>
      </c>
      <c r="AB24" s="8">
        <v>0</v>
      </c>
      <c r="AC24" s="33"/>
      <c r="AD24" s="33"/>
      <c r="AE24" s="33"/>
      <c r="AF24" s="33"/>
      <c r="AG24" t="str">
        <f>+IF($D24=1,RIGHT(D$3,4)&amp;", ","")&amp;IF($E24=1,RIGHT(E$3,4)&amp;", ","")&amp;IF($F24=1,RIGHT(F$3,4)&amp;", ","")&amp;IF($G24=1,RIGHT(G$3,4)&amp;", ","")&amp;IF($H24=1,RIGHT(H$3,4)&amp;", ","")&amp;IF($I24=1,RIGHT(I$3,4)&amp;", ","")&amp;IF($J24=1,RIGHT(J$3,4)&amp;", ","")&amp;IF($K24=1,RIGHT(K$3,4)&amp;", ","")&amp;IF($L24=1,RIGHT(L$3,4)&amp;", ","")&amp;IF($M24=1,RIGHT(M$3,4)&amp;", ","")&amp;IF($N24=1,RIGHT(N$3,4)&amp;", ","")&amp;IF($O24=1,RIGHT(O$3,4)&amp;", ","")&amp;IF($P24=1,RIGHT(P$3,4)&amp;", ","")&amp;IF($Q24=1,RIGHT(Q$3,4)&amp;", ","")&amp;IF($R24=1,RIGHT(R$3,4)&amp;", ","")&amp;IF($S24=1,RIGHT(S$3,4)&amp;", ","")&amp;IF($T24=1,RIGHT(T$3,4)&amp;", ","")&amp;IF($U24=1,RIGHT(U$3,4)&amp;", ","")&amp;IF($V24=1,RIGHT(V$3,4)&amp;", ","")&amp;IF($W24=1,RIGHT(W$3,4)&amp;", ","")&amp;IF($X24=1,RIGHT(X$3,4)&amp;", ","")&amp;IF($Y24=1,RIGHT(Y$3,4)&amp;", ","")&amp;IF($Z24=1, RIGHT(Z$3,4)&amp;", ", "")&amp;IF($AA24=1, RIGHT(AA$3,4)&amp;", ", "")&amp;IF($AB24=1, RIGHT(AB$3,4)&amp;", ", "")&amp;IF($AC24=1, RIGHT(AC$3,4)&amp;", ", "")&amp;IF($AD24=1, RIGHT(AD$3,4)&amp;", ", "")&amp;IF($AE24=1, RIGHT(AE$3,4)&amp;", ", "")&amp;IF($AF24=1, RIGHT(AF$3,4)&amp;", ", "")</f>
        <v xml:space="preserve">2018, </v>
      </c>
    </row>
    <row r="25" spans="1:34">
      <c r="A25" s="5">
        <f t="shared" si="0"/>
        <v>22</v>
      </c>
      <c r="B25" s="6" t="s">
        <v>51</v>
      </c>
      <c r="C25" s="7" t="s">
        <v>247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21">
        <v>1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33"/>
      <c r="AD25" s="33"/>
      <c r="AE25" s="33"/>
      <c r="AF25" s="33"/>
      <c r="AG25" t="s">
        <v>227</v>
      </c>
    </row>
    <row r="26" spans="1:34">
      <c r="A26" s="5">
        <f t="shared" si="0"/>
        <v>23</v>
      </c>
      <c r="B26" s="6" t="s">
        <v>52</v>
      </c>
      <c r="C26" s="7" t="s">
        <v>248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1</v>
      </c>
      <c r="Y26" s="8">
        <v>0</v>
      </c>
      <c r="Z26" s="8">
        <v>0</v>
      </c>
      <c r="AA26" s="8">
        <v>0</v>
      </c>
      <c r="AB26" s="8">
        <v>0</v>
      </c>
      <c r="AC26" s="33"/>
      <c r="AD26" s="33"/>
      <c r="AE26" s="33"/>
      <c r="AF26" s="33"/>
      <c r="AG26" t="str">
        <f>+IF($D26=1,RIGHT(D$3,4)&amp;", ","")&amp;IF($E26=1,RIGHT(E$3,4)&amp;", ","")&amp;IF($F26=1,RIGHT(F$3,4)&amp;", ","")&amp;IF($G26=1,RIGHT(G$3,4)&amp;", ","")&amp;IF($H26=1,RIGHT(H$3,4)&amp;", ","")&amp;IF($I26=1,RIGHT(I$3,4)&amp;", ","")&amp;IF($J26=1,RIGHT(J$3,4)&amp;", ","")&amp;IF($K26=1,RIGHT(K$3,4)&amp;", ","")&amp;IF($L26=1,RIGHT(L$3,4)&amp;", ","")&amp;IF($M26=1,RIGHT(M$3,4)&amp;", ","")&amp;IF($N26=1,RIGHT(N$3,4)&amp;", ","")&amp;IF($O26=1,RIGHT(O$3,4)&amp;", ","")&amp;IF($P26=1,RIGHT(P$3,4)&amp;", ","")&amp;IF($Q26=1,RIGHT(Q$3,4)&amp;", ","")&amp;IF($R26=1,RIGHT(R$3,4)&amp;", ","")&amp;IF($S26=1,RIGHT(S$3,4)&amp;", ","")&amp;IF($T26=1,RIGHT(T$3,4)&amp;", ","")&amp;IF($U26=1,RIGHT(U$3,4)&amp;", ","")&amp;IF($V26=1,RIGHT(V$3,4)&amp;", ","")&amp;IF($W26=1,RIGHT(W$3,4)&amp;", ","")&amp;IF($X26=1,RIGHT(X$3,4)&amp;", ","")&amp;IF($Y26=1,RIGHT(Y$3,4)&amp;", ","")&amp;IF($Z26=1, RIGHT(Z$3,4)&amp;", ", "")&amp;IF($AA26=1, RIGHT(AA$3,4)&amp;", ", "")&amp;IF($AB26=1, RIGHT(AB$3,4)&amp;", ", "")&amp;IF($AC26=1, RIGHT(AC$3,4)&amp;", ", "")&amp;IF($AD26=1, RIGHT(AD$3,4)&amp;", ", "")&amp;IF($AE26=1, RIGHT(AE$3,4)&amp;", ", "")&amp;IF($AF26=1, RIGHT(AF$3,4)&amp;", ", "")</f>
        <v xml:space="preserve">2009, 2016, </v>
      </c>
      <c r="AH26" t="s">
        <v>249</v>
      </c>
    </row>
    <row r="27" spans="1:34">
      <c r="A27" s="5">
        <f t="shared" si="0"/>
        <v>24</v>
      </c>
      <c r="B27" s="6" t="s">
        <v>53</v>
      </c>
      <c r="C27" s="7" t="s">
        <v>250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33"/>
      <c r="AD27" s="33"/>
      <c r="AE27" s="33"/>
      <c r="AF27" s="33"/>
      <c r="AG27" t="str">
        <f>+IF($D27=1,RIGHT(D$3,4)&amp;", ","")&amp;IF($E27=1,RIGHT(E$3,4)&amp;", ","")&amp;IF($F27=1,RIGHT(F$3,4)&amp;", ","")&amp;IF($G27=1,RIGHT(G$3,4)&amp;", ","")&amp;IF($H27=1,RIGHT(H$3,4)&amp;", ","")&amp;IF($I27=1,RIGHT(I$3,4)&amp;", ","")&amp;IF($J27=1,RIGHT(J$3,4)&amp;", ","")&amp;IF($K27=1,RIGHT(K$3,4)&amp;", ","")&amp;IF($L27=1,RIGHT(L$3,4)&amp;", ","")&amp;IF($M27=1,RIGHT(M$3,4)&amp;", ","")&amp;IF($N27=1,RIGHT(N$3,4)&amp;", ","")&amp;IF($O27=1,RIGHT(O$3,4)&amp;", ","")&amp;IF($P27=1,RIGHT(P$3,4)&amp;", ","")&amp;IF($Q27=1,RIGHT(Q$3,4)&amp;", ","")&amp;IF($R27=1,RIGHT(R$3,4)&amp;", ","")&amp;IF($S27=1,RIGHT(S$3,4)&amp;", ","")&amp;IF($T27=1,RIGHT(T$3,4)&amp;", ","")&amp;IF($U27=1,RIGHT(U$3,4)&amp;", ","")&amp;IF($V27=1,RIGHT(V$3,4)&amp;", ","")&amp;IF($W27=1,RIGHT(W$3,4)&amp;", ","")&amp;IF($X27=1,RIGHT(X$3,4)&amp;", ","")&amp;IF($Y27=1,RIGHT(Y$3,4)&amp;", ","")&amp;IF($Z27=1, RIGHT(Z$3,4)&amp;", ", "")&amp;IF($AA27=1, RIGHT(AA$3,4)&amp;", ", "")&amp;IF($AB27=1, RIGHT(AB$3,4)&amp;", ", "")&amp;IF($AC27=1, RIGHT(AC$3,4)&amp;", ", "")&amp;IF($AD27=1, RIGHT(AD$3,4)&amp;", ", "")&amp;IF($AE27=1, RIGHT(AE$3,4)&amp;", ", "")&amp;IF($AF27=1, RIGHT(AF$3,4)&amp;", ", "")</f>
        <v/>
      </c>
    </row>
    <row r="28" spans="1:34">
      <c r="A28" s="5">
        <f t="shared" si="0"/>
        <v>25</v>
      </c>
      <c r="B28" s="6" t="s">
        <v>54</v>
      </c>
      <c r="C28" s="7" t="s">
        <v>251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33"/>
      <c r="AD28" s="33"/>
      <c r="AE28" s="33"/>
      <c r="AF28" s="33"/>
      <c r="AG28" t="str">
        <f>+IF($D28=1,RIGHT(D$3,4)&amp;", ","")&amp;IF($E28=1,RIGHT(E$3,4)&amp;", ","")&amp;IF($F28=1,RIGHT(F$3,4)&amp;", ","")&amp;IF($G28=1,RIGHT(G$3,4)&amp;", ","")&amp;IF($H28=1,RIGHT(H$3,4)&amp;", ","")&amp;IF($I28=1,RIGHT(I$3,4)&amp;", ","")&amp;IF($J28=1,RIGHT(J$3,4)&amp;", ","")&amp;IF($K28=1,RIGHT(K$3,4)&amp;", ","")&amp;IF($L28=1,RIGHT(L$3,4)&amp;", ","")&amp;IF($M28=1,RIGHT(M$3,4)&amp;", ","")&amp;IF($N28=1,RIGHT(N$3,4)&amp;", ","")&amp;IF($O28=1,RIGHT(O$3,4)&amp;", ","")&amp;IF($P28=1,RIGHT(P$3,4)&amp;", ","")&amp;IF($Q28=1,RIGHT(Q$3,4)&amp;", ","")&amp;IF($R28=1,RIGHT(R$3,4)&amp;", ","")&amp;IF($S28=1,RIGHT(S$3,4)&amp;", ","")&amp;IF($T28=1,RIGHT(T$3,4)&amp;", ","")&amp;IF($U28=1,RIGHT(U$3,4)&amp;", ","")&amp;IF($V28=1,RIGHT(V$3,4)&amp;", ","")&amp;IF($W28=1,RIGHT(W$3,4)&amp;", ","")&amp;IF($X28=1,RIGHT(X$3,4)&amp;", ","")&amp;IF($Y28=1,RIGHT(Y$3,4)&amp;", ","")&amp;IF($Z28=1, RIGHT(Z$3,4)&amp;", ", "")&amp;IF($AA28=1, RIGHT(AA$3,4)&amp;", ", "")&amp;IF($AB28=1, RIGHT(AB$3,4)&amp;", ", "")&amp;IF($AC28=1, RIGHT(AC$3,4)&amp;", ", "")&amp;IF($AD28=1, RIGHT(AD$3,4)&amp;", ", "")&amp;IF($AE28=1, RIGHT(AE$3,4)&amp;", ", "")&amp;IF($AF28=1, RIGHT(AF$3,4)&amp;", ", "")</f>
        <v/>
      </c>
    </row>
    <row r="29" spans="1:34">
      <c r="A29" s="5">
        <f t="shared" si="0"/>
        <v>26</v>
      </c>
      <c r="B29" s="13" t="s">
        <v>55</v>
      </c>
      <c r="C29" s="12" t="s">
        <v>252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33"/>
      <c r="AD29" s="33"/>
      <c r="AE29" s="33"/>
      <c r="AF29" s="33"/>
      <c r="AG29" t="s">
        <v>227</v>
      </c>
    </row>
    <row r="30" spans="1:34">
      <c r="A30" s="5">
        <f t="shared" si="0"/>
        <v>27</v>
      </c>
      <c r="B30" s="14" t="s">
        <v>56</v>
      </c>
      <c r="C30" s="7" t="s">
        <v>253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22">
        <v>1</v>
      </c>
      <c r="AB30" s="8">
        <v>0</v>
      </c>
      <c r="AC30" s="33"/>
      <c r="AD30" s="33"/>
      <c r="AE30" s="33"/>
      <c r="AF30" s="33"/>
      <c r="AG30" t="str">
        <f>+IF($D30=1,RIGHT(D$3,4)&amp;", ","")&amp;IF($E30=1,RIGHT(E$3,4)&amp;", ","")&amp;IF($F30=1,RIGHT(F$3,4)&amp;", ","")&amp;IF($G30=1,RIGHT(G$3,4)&amp;", ","")&amp;IF($H30=1,RIGHT(H$3,4)&amp;", ","")&amp;IF($I30=1,RIGHT(I$3,4)&amp;", ","")&amp;IF($J30=1,RIGHT(J$3,4)&amp;", ","")&amp;IF($K30=1,RIGHT(K$3,4)&amp;", ","")&amp;IF($L30=1,RIGHT(L$3,4)&amp;", ","")&amp;IF($M30=1,RIGHT(M$3,4)&amp;", ","")&amp;IF($N30=1,RIGHT(N$3,4)&amp;", ","")&amp;IF($O30=1,RIGHT(O$3,4)&amp;", ","")&amp;IF($P30=1,RIGHT(P$3,4)&amp;", ","")&amp;IF($Q30=1,RIGHT(Q$3,4)&amp;", ","")&amp;IF($R30=1,RIGHT(R$3,4)&amp;", ","")&amp;IF($S30=1,RIGHT(S$3,4)&amp;", ","")&amp;IF($T30=1,RIGHT(T$3,4)&amp;", ","")&amp;IF($U30=1,RIGHT(U$3,4)&amp;", ","")&amp;IF($V30=1,RIGHT(V$3,4)&amp;", ","")&amp;IF($W30=1,RIGHT(W$3,4)&amp;", ","")&amp;IF($X30=1,RIGHT(X$3,4)&amp;", ","")&amp;IF($Y30=1,RIGHT(Y$3,4)&amp;", ","")&amp;IF($Z30=1, RIGHT(Z$3,4)&amp;", ", "")&amp;IF($AA30=1, RIGHT(AA$3,4)&amp;", ", "")&amp;IF($AB30=1, RIGHT(AB$3,4)&amp;", ", "")&amp;IF($AC30=1, RIGHT(AC$3,4)&amp;", ", "")&amp;IF($AD30=1, RIGHT(AD$3,4)&amp;", ", "")&amp;IF($AE30=1, RIGHT(AE$3,4)&amp;", ", "")&amp;IF($AF30=1, RIGHT(AF$3,4)&amp;", ", "")</f>
        <v xml:space="preserve">2019, </v>
      </c>
    </row>
    <row r="31" spans="1:34">
      <c r="A31" s="5">
        <f t="shared" si="0"/>
        <v>28</v>
      </c>
      <c r="B31" s="13" t="s">
        <v>57</v>
      </c>
      <c r="C31" s="7" t="s">
        <v>254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33"/>
      <c r="AD31" s="33"/>
      <c r="AE31" s="33"/>
      <c r="AF31" s="33"/>
      <c r="AG31" t="s">
        <v>227</v>
      </c>
    </row>
    <row r="32" spans="1:34">
      <c r="A32" s="5">
        <f t="shared" si="0"/>
        <v>29</v>
      </c>
      <c r="B32" s="9" t="s">
        <v>58</v>
      </c>
      <c r="C32" s="10" t="s">
        <v>255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33"/>
      <c r="AD32" s="33"/>
      <c r="AE32" s="33"/>
      <c r="AF32" s="33"/>
      <c r="AG32" t="str">
        <f>+IF($D32=1,RIGHT(D$3,4)&amp;", ","")&amp;IF($E32=1,RIGHT(E$3,4)&amp;", ","")&amp;IF($F32=1,RIGHT(F$3,4)&amp;", ","")&amp;IF($G32=1,RIGHT(G$3,4)&amp;", ","")&amp;IF($H32=1,RIGHT(H$3,4)&amp;", ","")&amp;IF($I32=1,RIGHT(I$3,4)&amp;", ","")&amp;IF($J32=1,RIGHT(J$3,4)&amp;", ","")&amp;IF($K32=1,RIGHT(K$3,4)&amp;", ","")&amp;IF($L32=1,RIGHT(L$3,4)&amp;", ","")&amp;IF($M32=1,RIGHT(M$3,4)&amp;", ","")&amp;IF($N32=1,RIGHT(N$3,4)&amp;", ","")&amp;IF($O32=1,RIGHT(O$3,4)&amp;", ","")&amp;IF($P32=1,RIGHT(P$3,4)&amp;", ","")&amp;IF($Q32=1,RIGHT(Q$3,4)&amp;", ","")&amp;IF($R32=1,RIGHT(R$3,4)&amp;", ","")&amp;IF($S32=1,RIGHT(S$3,4)&amp;", ","")&amp;IF($T32=1,RIGHT(T$3,4)&amp;", ","")&amp;IF($U32=1,RIGHT(U$3,4)&amp;", ","")&amp;IF($V32=1,RIGHT(V$3,4)&amp;", ","")&amp;IF($W32=1,RIGHT(W$3,4)&amp;", ","")&amp;IF($X32=1,RIGHT(X$3,4)&amp;", ","")&amp;IF($Y32=1,RIGHT(Y$3,4)&amp;", ","")&amp;IF($Z32=1, RIGHT(Z$3,4)&amp;", ", "")&amp;IF($AA32=1, RIGHT(AA$3,4)&amp;", ", "")&amp;IF($AB32=1, RIGHT(AB$3,4)&amp;", ", "")&amp;IF($AC32=1, RIGHT(AC$3,4)&amp;", ", "")&amp;IF($AD32=1, RIGHT(AD$3,4)&amp;", ", "")&amp;IF($AE32=1, RIGHT(AE$3,4)&amp;", ", "")&amp;IF($AF32=1, RIGHT(AF$3,4)&amp;", ", "")</f>
        <v/>
      </c>
    </row>
    <row r="33" spans="1:34">
      <c r="A33" s="5">
        <f t="shared" si="0"/>
        <v>30</v>
      </c>
      <c r="B33" s="6" t="s">
        <v>59</v>
      </c>
      <c r="C33" s="7" t="s">
        <v>256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33"/>
      <c r="AD33" s="33"/>
      <c r="AE33" s="33"/>
      <c r="AF33" s="33"/>
      <c r="AG33" t="str">
        <f>+IF($D33=1,RIGHT(D$3,4)&amp;", ","")&amp;IF($E33=1,RIGHT(E$3,4)&amp;", ","")&amp;IF($F33=1,RIGHT(F$3,4)&amp;", ","")&amp;IF($G33=1,RIGHT(G$3,4)&amp;", ","")&amp;IF($H33=1,RIGHT(H$3,4)&amp;", ","")&amp;IF($I33=1,RIGHT(I$3,4)&amp;", ","")&amp;IF($J33=1,RIGHT(J$3,4)&amp;", ","")&amp;IF($K33=1,RIGHT(K$3,4)&amp;", ","")&amp;IF($L33=1,RIGHT(L$3,4)&amp;", ","")&amp;IF($M33=1,RIGHT(M$3,4)&amp;", ","")&amp;IF($N33=1,RIGHT(N$3,4)&amp;", ","")&amp;IF($O33=1,RIGHT(O$3,4)&amp;", ","")&amp;IF($P33=1,RIGHT(P$3,4)&amp;", ","")&amp;IF($Q33=1,RIGHT(Q$3,4)&amp;", ","")&amp;IF($R33=1,RIGHT(R$3,4)&amp;", ","")&amp;IF($S33=1,RIGHT(S$3,4)&amp;", ","")&amp;IF($T33=1,RIGHT(T$3,4)&amp;", ","")&amp;IF($U33=1,RIGHT(U$3,4)&amp;", ","")&amp;IF($V33=1,RIGHT(V$3,4)&amp;", ","")&amp;IF($W33=1,RIGHT(W$3,4)&amp;", ","")&amp;IF($X33=1,RIGHT(X$3,4)&amp;", ","")&amp;IF($Y33=1,RIGHT(Y$3,4)&amp;", ","")&amp;IF($Z33=1, RIGHT(Z$3,4)&amp;", ", "")&amp;IF($AA33=1, RIGHT(AA$3,4)&amp;", ", "")&amp;IF($AB33=1, RIGHT(AB$3,4)&amp;", ", "")&amp;IF($AC33=1, RIGHT(AC$3,4)&amp;", ", "")&amp;IF($AD33=1, RIGHT(AD$3,4)&amp;", ", "")&amp;IF($AE33=1, RIGHT(AE$3,4)&amp;", ", "")&amp;IF($AF33=1, RIGHT(AF$3,4)&amp;", ", "")</f>
        <v/>
      </c>
    </row>
    <row r="34" spans="1:34">
      <c r="A34" s="5">
        <f t="shared" si="0"/>
        <v>31</v>
      </c>
      <c r="B34" s="6" t="s">
        <v>60</v>
      </c>
      <c r="C34" s="7" t="s">
        <v>257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33"/>
      <c r="AD34" s="33"/>
      <c r="AE34" s="33"/>
      <c r="AF34" s="33"/>
      <c r="AG34" t="str">
        <f>+IF($D34=1,RIGHT(D$3,4)&amp;", ","")&amp;IF($E34=1,RIGHT(E$3,4)&amp;", ","")&amp;IF($F34=1,RIGHT(F$3,4)&amp;", ","")&amp;IF($G34=1,RIGHT(G$3,4)&amp;", ","")&amp;IF($H34=1,RIGHT(H$3,4)&amp;", ","")&amp;IF($I34=1,RIGHT(I$3,4)&amp;", ","")&amp;IF($J34=1,RIGHT(J$3,4)&amp;", ","")&amp;IF($K34=1,RIGHT(K$3,4)&amp;", ","")&amp;IF($L34=1,RIGHT(L$3,4)&amp;", ","")&amp;IF($M34=1,RIGHT(M$3,4)&amp;", ","")&amp;IF($N34=1,RIGHT(N$3,4)&amp;", ","")&amp;IF($O34=1,RIGHT(O$3,4)&amp;", ","")&amp;IF($P34=1,RIGHT(P$3,4)&amp;", ","")&amp;IF($Q34=1,RIGHT(Q$3,4)&amp;", ","")&amp;IF($R34=1,RIGHT(R$3,4)&amp;", ","")&amp;IF($S34=1,RIGHT(S$3,4)&amp;", ","")&amp;IF($T34=1,RIGHT(T$3,4)&amp;", ","")&amp;IF($U34=1,RIGHT(U$3,4)&amp;", ","")&amp;IF($V34=1,RIGHT(V$3,4)&amp;", ","")&amp;IF($W34=1,RIGHT(W$3,4)&amp;", ","")&amp;IF($X34=1,RIGHT(X$3,4)&amp;", ","")&amp;IF($Y34=1,RIGHT(Y$3,4)&amp;", ","")&amp;IF($Z34=1, RIGHT(Z$3,4)&amp;", ", "")&amp;IF($AA34=1, RIGHT(AA$3,4)&amp;", ", "")&amp;IF($AB34=1, RIGHT(AB$3,4)&amp;", ", "")&amp;IF($AC34=1, RIGHT(AC$3,4)&amp;", ", "")&amp;IF($AD34=1, RIGHT(AD$3,4)&amp;", ", "")&amp;IF($AE34=1, RIGHT(AE$3,4)&amp;", ", "")&amp;IF($AF34=1, RIGHT(AF$3,4)&amp;", ", "")</f>
        <v/>
      </c>
    </row>
    <row r="35" spans="1:34">
      <c r="A35" s="5">
        <f t="shared" si="0"/>
        <v>32</v>
      </c>
      <c r="B35" s="9" t="s">
        <v>61</v>
      </c>
      <c r="C35" s="10" t="s">
        <v>258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33"/>
      <c r="AD35" s="33"/>
      <c r="AE35" s="33"/>
      <c r="AF35" s="33"/>
      <c r="AG35" t="s">
        <v>227</v>
      </c>
    </row>
    <row r="36" spans="1:34">
      <c r="A36" s="5">
        <f t="shared" si="0"/>
        <v>33</v>
      </c>
      <c r="B36" s="6" t="s">
        <v>62</v>
      </c>
      <c r="C36" s="7" t="s">
        <v>259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33"/>
      <c r="AD36" s="33"/>
      <c r="AE36" s="33"/>
      <c r="AF36" s="33"/>
      <c r="AG36" t="s">
        <v>227</v>
      </c>
      <c r="AH36" t="s">
        <v>260</v>
      </c>
    </row>
    <row r="37" spans="1:34">
      <c r="A37" s="5">
        <f t="shared" si="0"/>
        <v>34</v>
      </c>
      <c r="B37" s="6" t="s">
        <v>63</v>
      </c>
      <c r="C37" s="7" t="s">
        <v>261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33"/>
      <c r="AD37" s="33"/>
      <c r="AE37" s="33"/>
      <c r="AF37" s="33"/>
      <c r="AG37" t="s">
        <v>227</v>
      </c>
    </row>
    <row r="38" spans="1:34">
      <c r="A38" s="5">
        <f t="shared" si="0"/>
        <v>35</v>
      </c>
      <c r="B38" s="11" t="s">
        <v>64</v>
      </c>
      <c r="C38" s="12" t="s">
        <v>262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33"/>
      <c r="AD38" s="33"/>
      <c r="AE38" s="33"/>
      <c r="AF38" s="33"/>
      <c r="AG38" t="str">
        <f>+IF($D38=1,RIGHT(D$3,4)&amp;", ","")&amp;IF($E38=1,RIGHT(E$3,4)&amp;", ","")&amp;IF($F38=1,RIGHT(F$3,4)&amp;", ","")&amp;IF($G38=1,RIGHT(G$3,4)&amp;", ","")&amp;IF($H38=1,RIGHT(H$3,4)&amp;", ","")&amp;IF($I38=1,RIGHT(I$3,4)&amp;", ","")&amp;IF($J38=1,RIGHT(J$3,4)&amp;", ","")&amp;IF($K38=1,RIGHT(K$3,4)&amp;", ","")&amp;IF($L38=1,RIGHT(L$3,4)&amp;", ","")&amp;IF($M38=1,RIGHT(M$3,4)&amp;", ","")&amp;IF($N38=1,RIGHT(N$3,4)&amp;", ","")&amp;IF($O38=1,RIGHT(O$3,4)&amp;", ","")&amp;IF($P38=1,RIGHT(P$3,4)&amp;", ","")&amp;IF($Q38=1,RIGHT(Q$3,4)&amp;", ","")&amp;IF($R38=1,RIGHT(R$3,4)&amp;", ","")&amp;IF($S38=1,RIGHT(S$3,4)&amp;", ","")&amp;IF($T38=1,RIGHT(T$3,4)&amp;", ","")&amp;IF($U38=1,RIGHT(U$3,4)&amp;", ","")&amp;IF($V38=1,RIGHT(V$3,4)&amp;", ","")&amp;IF($W38=1,RIGHT(W$3,4)&amp;", ","")&amp;IF($X38=1,RIGHT(X$3,4)&amp;", ","")&amp;IF($Y38=1,RIGHT(Y$3,4)&amp;", ","")&amp;IF($Z38=1, RIGHT(Z$3,4)&amp;", ", "")&amp;IF($AA38=1, RIGHT(AA$3,4)&amp;", ", "")&amp;IF($AB38=1, RIGHT(AB$3,4)&amp;", ", "")&amp;IF($AC38=1, RIGHT(AC$3,4)&amp;", ", "")&amp;IF($AD38=1, RIGHT(AD$3,4)&amp;", ", "")&amp;IF($AE38=1, RIGHT(AE$3,4)&amp;", ", "")&amp;IF($AF38=1, RIGHT(AF$3,4)&amp;", ", "")</f>
        <v/>
      </c>
    </row>
    <row r="39" spans="1:34">
      <c r="A39" s="5">
        <f t="shared" si="0"/>
        <v>36</v>
      </c>
      <c r="B39" s="6" t="s">
        <v>65</v>
      </c>
      <c r="C39" s="7" t="s">
        <v>263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33"/>
      <c r="AD39" s="33"/>
      <c r="AE39" s="33"/>
      <c r="AF39" s="33"/>
      <c r="AG39" t="str">
        <f>+IF($D39=1,RIGHT(D$3,4)&amp;", ","")&amp;IF($E39=1,RIGHT(E$3,4)&amp;", ","")&amp;IF($F39=1,RIGHT(F$3,4)&amp;", ","")&amp;IF($G39=1,RIGHT(G$3,4)&amp;", ","")&amp;IF($H39=1,RIGHT(H$3,4)&amp;", ","")&amp;IF($I39=1,RIGHT(I$3,4)&amp;", ","")&amp;IF($J39=1,RIGHT(J$3,4)&amp;", ","")&amp;IF($K39=1,RIGHT(K$3,4)&amp;", ","")&amp;IF($L39=1,RIGHT(L$3,4)&amp;", ","")&amp;IF($M39=1,RIGHT(M$3,4)&amp;", ","")&amp;IF($N39=1,RIGHT(N$3,4)&amp;", ","")&amp;IF($O39=1,RIGHT(O$3,4)&amp;", ","")&amp;IF($P39=1,RIGHT(P$3,4)&amp;", ","")&amp;IF($Q39=1,RIGHT(Q$3,4)&amp;", ","")&amp;IF($R39=1,RIGHT(R$3,4)&amp;", ","")&amp;IF($S39=1,RIGHT(S$3,4)&amp;", ","")&amp;IF($T39=1,RIGHT(T$3,4)&amp;", ","")&amp;IF($U39=1,RIGHT(U$3,4)&amp;", ","")&amp;IF($V39=1,RIGHT(V$3,4)&amp;", ","")&amp;IF($W39=1,RIGHT(W$3,4)&amp;", ","")&amp;IF($X39=1,RIGHT(X$3,4)&amp;", ","")&amp;IF($Y39=1,RIGHT(Y$3,4)&amp;", ","")&amp;IF($Z39=1, RIGHT(Z$3,4)&amp;", ", "")&amp;IF($AA39=1, RIGHT(AA$3,4)&amp;", ", "")&amp;IF($AB39=1, RIGHT(AB$3,4)&amp;", ", "")&amp;IF($AC39=1, RIGHT(AC$3,4)&amp;", ", "")&amp;IF($AD39=1, RIGHT(AD$3,4)&amp;", ", "")&amp;IF($AE39=1, RIGHT(AE$3,4)&amp;", ", "")&amp;IF($AF39=1, RIGHT(AF$3,4)&amp;", ", "")</f>
        <v/>
      </c>
    </row>
    <row r="40" spans="1:34">
      <c r="A40" s="5">
        <f t="shared" si="0"/>
        <v>37</v>
      </c>
      <c r="B40" s="6" t="s">
        <v>66</v>
      </c>
      <c r="C40" s="7" t="s">
        <v>264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33"/>
      <c r="AD40" s="33"/>
      <c r="AE40" s="33"/>
      <c r="AF40" s="33"/>
      <c r="AG40" t="s">
        <v>227</v>
      </c>
    </row>
    <row r="41" spans="1:34">
      <c r="A41" s="5">
        <f t="shared" si="0"/>
        <v>38</v>
      </c>
      <c r="B41" s="11" t="s">
        <v>67</v>
      </c>
      <c r="C41" s="10" t="s">
        <v>265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21">
        <v>1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33"/>
      <c r="AD41" s="33"/>
      <c r="AE41" s="33"/>
      <c r="AF41" s="33"/>
      <c r="AG41" t="s">
        <v>227</v>
      </c>
    </row>
    <row r="42" spans="1:34">
      <c r="A42" s="5">
        <f t="shared" si="0"/>
        <v>39</v>
      </c>
      <c r="B42" s="6" t="s">
        <v>68</v>
      </c>
      <c r="C42" s="7" t="s">
        <v>266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19">
        <v>1</v>
      </c>
      <c r="Z42" s="8">
        <v>0</v>
      </c>
      <c r="AA42" s="8">
        <v>0</v>
      </c>
      <c r="AB42" s="8">
        <v>0</v>
      </c>
      <c r="AC42" s="33"/>
      <c r="AD42" s="33"/>
      <c r="AE42" s="33"/>
      <c r="AF42" s="33"/>
      <c r="AG42" t="s">
        <v>227</v>
      </c>
    </row>
    <row r="43" spans="1:34">
      <c r="A43" s="5">
        <f t="shared" si="0"/>
        <v>40</v>
      </c>
      <c r="B43" s="6" t="s">
        <v>69</v>
      </c>
      <c r="C43" s="7" t="s">
        <v>267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33"/>
      <c r="AD43" s="33">
        <v>0</v>
      </c>
      <c r="AE43" s="33"/>
      <c r="AF43" s="33"/>
      <c r="AG43" t="s">
        <v>227</v>
      </c>
    </row>
    <row r="44" spans="1:34">
      <c r="A44" s="5">
        <f t="shared" si="0"/>
        <v>41</v>
      </c>
      <c r="B44" s="6" t="s">
        <v>70</v>
      </c>
      <c r="C44" s="7" t="s">
        <v>268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33"/>
      <c r="AD44" s="33">
        <v>0</v>
      </c>
      <c r="AE44" s="33"/>
      <c r="AF44" s="33"/>
      <c r="AG44" t="str">
        <f>+IF($D44=1,RIGHT(D$3,4)&amp;", ","")&amp;IF($E44=1,RIGHT(E$3,4)&amp;", ","")&amp;IF($F44=1,RIGHT(F$3,4)&amp;", ","")&amp;IF($G44=1,RIGHT(G$3,4)&amp;", ","")&amp;IF($H44=1,RIGHT(H$3,4)&amp;", ","")&amp;IF($I44=1,RIGHT(I$3,4)&amp;", ","")&amp;IF($J44=1,RIGHT(J$3,4)&amp;", ","")&amp;IF($K44=1,RIGHT(K$3,4)&amp;", ","")&amp;IF($L44=1,RIGHT(L$3,4)&amp;", ","")&amp;IF($M44=1,RIGHT(M$3,4)&amp;", ","")&amp;IF($N44=1,RIGHT(N$3,4)&amp;", ","")&amp;IF($O44=1,RIGHT(O$3,4)&amp;", ","")&amp;IF($P44=1,RIGHT(P$3,4)&amp;", ","")&amp;IF($Q44=1,RIGHT(Q$3,4)&amp;", ","")&amp;IF($R44=1,RIGHT(R$3,4)&amp;", ","")&amp;IF($S44=1,RIGHT(S$3,4)&amp;", ","")&amp;IF($T44=1,RIGHT(T$3,4)&amp;", ","")&amp;IF($U44=1,RIGHT(U$3,4)&amp;", ","")&amp;IF($V44=1,RIGHT(V$3,4)&amp;", ","")&amp;IF($W44=1,RIGHT(W$3,4)&amp;", ","")&amp;IF($X44=1,RIGHT(X$3,4)&amp;", ","")&amp;IF($Y44=1,RIGHT(Y$3,4)&amp;", ","")&amp;IF($Z44=1, RIGHT(Z$3,4)&amp;", ", "")&amp;IF($AA44=1, RIGHT(AA$3,4)&amp;", ", "")&amp;IF($AB44=1, RIGHT(AB$3,4)&amp;", ", "")&amp;IF($AC44=1, RIGHT(AC$3,4)&amp;", ", "")&amp;IF($AD44=1, RIGHT(AD$3,4)&amp;", ", "")&amp;IF($AE44=1, RIGHT(AE$3,4)&amp;", ", "")&amp;IF($AF44=1, RIGHT(AF$3,4)&amp;", ", "")</f>
        <v/>
      </c>
    </row>
    <row r="45" spans="1:34">
      <c r="A45" s="5">
        <f t="shared" si="0"/>
        <v>42</v>
      </c>
      <c r="B45" s="6" t="s">
        <v>71</v>
      </c>
      <c r="C45" s="7" t="s">
        <v>269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33"/>
      <c r="AD45" s="33">
        <v>0</v>
      </c>
      <c r="AE45" s="33"/>
      <c r="AF45" s="33"/>
      <c r="AG45" t="str">
        <f>+IF($D45=1,RIGHT(D$3,4)&amp;", ","")&amp;IF($E45=1,RIGHT(E$3,4)&amp;", ","")&amp;IF($F45=1,RIGHT(F$3,4)&amp;", ","")&amp;IF($G45=1,RIGHT(G$3,4)&amp;", ","")&amp;IF($H45=1,RIGHT(H$3,4)&amp;", ","")&amp;IF($I45=1,RIGHT(I$3,4)&amp;", ","")&amp;IF($J45=1,RIGHT(J$3,4)&amp;", ","")&amp;IF($K45=1,RIGHT(K$3,4)&amp;", ","")&amp;IF($L45=1,RIGHT(L$3,4)&amp;", ","")&amp;IF($M45=1,RIGHT(M$3,4)&amp;", ","")&amp;IF($N45=1,RIGHT(N$3,4)&amp;", ","")&amp;IF($O45=1,RIGHT(O$3,4)&amp;", ","")&amp;IF($P45=1,RIGHT(P$3,4)&amp;", ","")&amp;IF($Q45=1,RIGHT(Q$3,4)&amp;", ","")&amp;IF($R45=1,RIGHT(R$3,4)&amp;", ","")&amp;IF($S45=1,RIGHT(S$3,4)&amp;", ","")&amp;IF($T45=1,RIGHT(T$3,4)&amp;", ","")&amp;IF($U45=1,RIGHT(U$3,4)&amp;", ","")&amp;IF($V45=1,RIGHT(V$3,4)&amp;", ","")&amp;IF($W45=1,RIGHT(W$3,4)&amp;", ","")&amp;IF($X45=1,RIGHT(X$3,4)&amp;", ","")&amp;IF($Y45=1,RIGHT(Y$3,4)&amp;", ","")&amp;IF($Z45=1, RIGHT(Z$3,4)&amp;", ", "")&amp;IF($AA45=1, RIGHT(AA$3,4)&amp;", ", "")&amp;IF($AB45=1, RIGHT(AB$3,4)&amp;", ", "")&amp;IF($AC45=1, RIGHT(AC$3,4)&amp;", ", "")&amp;IF($AD45=1, RIGHT(AD$3,4)&amp;", ", "")&amp;IF($AE45=1, RIGHT(AE$3,4)&amp;", ", "")&amp;IF($AF45=1, RIGHT(AF$3,4)&amp;", ", "")</f>
        <v/>
      </c>
    </row>
    <row r="46" spans="1:34">
      <c r="A46" s="5">
        <f t="shared" si="0"/>
        <v>43</v>
      </c>
      <c r="B46" s="6" t="s">
        <v>72</v>
      </c>
      <c r="C46" s="7" t="s">
        <v>270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19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33"/>
      <c r="AD46" s="33">
        <v>0</v>
      </c>
      <c r="AE46" s="33"/>
      <c r="AF46" s="33"/>
      <c r="AG46" t="str">
        <f>+IF($D46=1,RIGHT(D$3,4)&amp;", ","")&amp;IF($E46=1,RIGHT(E$3,4)&amp;", ","")&amp;IF($F46=1,RIGHT(F$3,4)&amp;", ","")&amp;IF($G46=1,RIGHT(G$3,4)&amp;", ","")&amp;IF($H46=1,RIGHT(H$3,4)&amp;", ","")&amp;IF($I46=1,RIGHT(I$3,4)&amp;", ","")&amp;IF($J46=1,RIGHT(J$3,4)&amp;", ","")&amp;IF($K46=1,RIGHT(K$3,4)&amp;", ","")&amp;IF($L46=1,RIGHT(L$3,4)&amp;", ","")&amp;IF($M46=1,RIGHT(M$3,4)&amp;", ","")&amp;IF($N46=1,RIGHT(N$3,4)&amp;", ","")&amp;IF($O46=1,RIGHT(O$3,4)&amp;", ","")&amp;IF($P46=1,RIGHT(P$3,4)&amp;", ","")&amp;IF($Q46=1,RIGHT(Q$3,4)&amp;", ","")&amp;IF($R46=1,RIGHT(R$3,4)&amp;", ","")&amp;IF($S46=1,RIGHT(S$3,4)&amp;", ","")&amp;IF($T46=1,RIGHT(T$3,4)&amp;", ","")&amp;IF($U46=1,RIGHT(U$3,4)&amp;", ","")&amp;IF($V46=1,RIGHT(V$3,4)&amp;", ","")&amp;IF($W46=1,RIGHT(W$3,4)&amp;", ","")&amp;IF($X46=1,RIGHT(X$3,4)&amp;", ","")&amp;IF($Y46=1,RIGHT(Y$3,4)&amp;", ","")&amp;IF($Z46=1, RIGHT(Z$3,4)&amp;", ", "")&amp;IF($AA46=1, RIGHT(AA$3,4)&amp;", ", "")&amp;IF($AB46=1, RIGHT(AB$3,4)&amp;", ", "")&amp;IF($AC46=1, RIGHT(AC$3,4)&amp;", ", "")&amp;IF($AD46=1, RIGHT(AD$3,4)&amp;", ", "")&amp;IF($AE46=1, RIGHT(AE$3,4)&amp;", ", "")&amp;IF($AF46=1, RIGHT(AF$3,4)&amp;", ", "")</f>
        <v xml:space="preserve">2011, </v>
      </c>
    </row>
    <row r="47" spans="1:34">
      <c r="A47" s="5">
        <f t="shared" si="0"/>
        <v>44</v>
      </c>
      <c r="B47" s="9" t="s">
        <v>73</v>
      </c>
      <c r="C47" s="10" t="s">
        <v>271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33"/>
      <c r="AD47" s="33">
        <v>0</v>
      </c>
      <c r="AE47" s="33"/>
      <c r="AF47" s="33"/>
      <c r="AG47" t="str">
        <f>+IF($D47=1,RIGHT(D$3,4)&amp;", ","")&amp;IF($E47=1,RIGHT(E$3,4)&amp;", ","")&amp;IF($F47=1,RIGHT(F$3,4)&amp;", ","")&amp;IF($G47=1,RIGHT(G$3,4)&amp;", ","")&amp;IF($H47=1,RIGHT(H$3,4)&amp;", ","")&amp;IF($I47=1,RIGHT(I$3,4)&amp;", ","")&amp;IF($J47=1,RIGHT(J$3,4)&amp;", ","")&amp;IF($K47=1,RIGHT(K$3,4)&amp;", ","")&amp;IF($L47=1,RIGHT(L$3,4)&amp;", ","")&amp;IF($M47=1,RIGHT(M$3,4)&amp;", ","")&amp;IF($N47=1,RIGHT(N$3,4)&amp;", ","")&amp;IF($O47=1,RIGHT(O$3,4)&amp;", ","")&amp;IF($P47=1,RIGHT(P$3,4)&amp;", ","")&amp;IF($Q47=1,RIGHT(Q$3,4)&amp;", ","")&amp;IF($R47=1,RIGHT(R$3,4)&amp;", ","")&amp;IF($S47=1,RIGHT(S$3,4)&amp;", ","")&amp;IF($T47=1,RIGHT(T$3,4)&amp;", ","")&amp;IF($U47=1,RIGHT(U$3,4)&amp;", ","")&amp;IF($V47=1,RIGHT(V$3,4)&amp;", ","")&amp;IF($W47=1,RIGHT(W$3,4)&amp;", ","")&amp;IF($X47=1,RIGHT(X$3,4)&amp;", ","")&amp;IF($Y47=1,RIGHT(Y$3,4)&amp;", ","")&amp;IF($Z47=1, RIGHT(Z$3,4)&amp;", ", "")&amp;IF($AA47=1, RIGHT(AA$3,4)&amp;", ", "")&amp;IF($AB47=1, RIGHT(AB$3,4)&amp;", ", "")&amp;IF($AC47=1, RIGHT(AC$3,4)&amp;", ", "")&amp;IF($AD47=1, RIGHT(AD$3,4)&amp;", ", "")&amp;IF($AE47=1, RIGHT(AE$3,4)&amp;", ", "")&amp;IF($AF47=1, RIGHT(AF$3,4)&amp;", ", "")</f>
        <v/>
      </c>
    </row>
    <row r="48" spans="1:34">
      <c r="A48" s="5">
        <f t="shared" si="0"/>
        <v>45</v>
      </c>
      <c r="B48" s="6" t="s">
        <v>74</v>
      </c>
      <c r="C48" s="7" t="s">
        <v>272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33"/>
      <c r="AD48" s="33">
        <v>0</v>
      </c>
      <c r="AE48" s="33"/>
      <c r="AF48" s="33"/>
      <c r="AG48" t="str">
        <f>+IF($D48=1,RIGHT(D$3,4)&amp;", ","")&amp;IF($E48=1,RIGHT(E$3,4)&amp;", ","")&amp;IF($F48=1,RIGHT(F$3,4)&amp;", ","")&amp;IF($G48=1,RIGHT(G$3,4)&amp;", ","")&amp;IF($H48=1,RIGHT(H$3,4)&amp;", ","")&amp;IF($I48=1,RIGHT(I$3,4)&amp;", ","")&amp;IF($J48=1,RIGHT(J$3,4)&amp;", ","")&amp;IF($K48=1,RIGHT(K$3,4)&amp;", ","")&amp;IF($L48=1,RIGHT(L$3,4)&amp;", ","")&amp;IF($M48=1,RIGHT(M$3,4)&amp;", ","")&amp;IF($N48=1,RIGHT(N$3,4)&amp;", ","")&amp;IF($O48=1,RIGHT(O$3,4)&amp;", ","")&amp;IF($P48=1,RIGHT(P$3,4)&amp;", ","")&amp;IF($Q48=1,RIGHT(Q$3,4)&amp;", ","")&amp;IF($R48=1,RIGHT(R$3,4)&amp;", ","")&amp;IF($S48=1,RIGHT(S$3,4)&amp;", ","")&amp;IF($T48=1,RIGHT(T$3,4)&amp;", ","")&amp;IF($U48=1,RIGHT(U$3,4)&amp;", ","")&amp;IF($V48=1,RIGHT(V$3,4)&amp;", ","")&amp;IF($W48=1,RIGHT(W$3,4)&amp;", ","")&amp;IF($X48=1,RIGHT(X$3,4)&amp;", ","")&amp;IF($Y48=1,RIGHT(Y$3,4)&amp;", ","")&amp;IF($Z48=1, RIGHT(Z$3,4)&amp;", ", "")&amp;IF($AA48=1, RIGHT(AA$3,4)&amp;", ", "")&amp;IF($AB48=1, RIGHT(AB$3,4)&amp;", ", "")&amp;IF($AC48=1, RIGHT(AC$3,4)&amp;", ", "")&amp;IF($AD48=1, RIGHT(AD$3,4)&amp;", ", "")&amp;IF($AE48=1, RIGHT(AE$3,4)&amp;", ", "")&amp;IF($AF48=1, RIGHT(AF$3,4)&amp;", ", "")</f>
        <v/>
      </c>
    </row>
    <row r="49" spans="1:34">
      <c r="A49" s="5">
        <f t="shared" si="0"/>
        <v>46</v>
      </c>
      <c r="B49" s="6" t="s">
        <v>75</v>
      </c>
      <c r="C49" s="7" t="s">
        <v>273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33">
        <v>1</v>
      </c>
      <c r="AD49" s="33">
        <v>0</v>
      </c>
      <c r="AE49" s="33"/>
      <c r="AF49" s="33"/>
      <c r="AG49" t="str">
        <f>+IF($D49=1,RIGHT(D$3,4)&amp;", ","")&amp;IF($E49=1,RIGHT(E$3,4)&amp;", ","")&amp;IF($F49=1,RIGHT(F$3,4)&amp;", ","")&amp;IF($G49=1,RIGHT(G$3,4)&amp;", ","")&amp;IF($H49=1,RIGHT(H$3,4)&amp;", ","")&amp;IF($I49=1,RIGHT(I$3,4)&amp;", ","")&amp;IF($J49=1,RIGHT(J$3,4)&amp;", ","")&amp;IF($K49=1,RIGHT(K$3,4)&amp;", ","")&amp;IF($L49=1,RIGHT(L$3,4)&amp;", ","")&amp;IF($M49=1,RIGHT(M$3,4)&amp;", ","")&amp;IF($N49=1,RIGHT(N$3,4)&amp;", ","")&amp;IF($O49=1,RIGHT(O$3,4)&amp;", ","")&amp;IF($P49=1,RIGHT(P$3,4)&amp;", ","")&amp;IF($Q49=1,RIGHT(Q$3,4)&amp;", ","")&amp;IF($R49=1,RIGHT(R$3,4)&amp;", ","")&amp;IF($S49=1,RIGHT(S$3,4)&amp;", ","")&amp;IF($T49=1,RIGHT(T$3,4)&amp;", ","")&amp;IF($U49=1,RIGHT(U$3,4)&amp;", ","")&amp;IF($V49=1,RIGHT(V$3,4)&amp;", ","")&amp;IF($W49=1,RIGHT(W$3,4)&amp;", ","")&amp;IF($X49=1,RIGHT(X$3,4)&amp;", ","")&amp;IF($Y49=1,RIGHT(Y$3,4)&amp;", ","")&amp;IF($Z49=1, RIGHT(Z$3,4)&amp;", ", "")&amp;IF($AA49=1, RIGHT(AA$3,4)&amp;", ", "")&amp;IF($AB49=1, RIGHT(AB$3,4)&amp;", ", "")&amp;IF($AC49=1, RIGHT(AC$3,4)&amp;", ", "")&amp;IF($AD49=1, RIGHT(AD$3,4)&amp;", ", "")&amp;IF($AE49=1, RIGHT(AE$3,4)&amp;", ", "")&amp;IF($AF49=1, RIGHT(AF$3,4)&amp;", ", "")</f>
        <v xml:space="preserve">2021, </v>
      </c>
    </row>
    <row r="50" spans="1:34">
      <c r="A50" s="5">
        <f t="shared" si="0"/>
        <v>47</v>
      </c>
      <c r="B50" s="6" t="s">
        <v>76</v>
      </c>
      <c r="C50" s="7" t="s">
        <v>274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1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33"/>
      <c r="AD50" s="33"/>
      <c r="AE50" s="33"/>
      <c r="AF50" s="33"/>
      <c r="AG50" t="str">
        <f>+IF($D50=1,RIGHT(D$3,4)&amp;", ","")&amp;IF($E50=1,RIGHT(E$3,4)&amp;", ","")&amp;IF($F50=1,RIGHT(F$3,4)&amp;", ","")&amp;IF($G50=1,RIGHT(G$3,4)&amp;", ","")&amp;IF($H50=1,RIGHT(H$3,4)&amp;", ","")&amp;IF($I50=1,RIGHT(I$3,4)&amp;", ","")&amp;IF($J50=1,RIGHT(J$3,4)&amp;", ","")&amp;IF($K50=1,RIGHT(K$3,4)&amp;", ","")&amp;IF($L50=1,RIGHT(L$3,4)&amp;", ","")&amp;IF($M50=1,RIGHT(M$3,4)&amp;", ","")&amp;IF($N50=1,RIGHT(N$3,4)&amp;", ","")&amp;IF($O50=1,RIGHT(O$3,4)&amp;", ","")&amp;IF($P50=1,RIGHT(P$3,4)&amp;", ","")&amp;IF($Q50=1,RIGHT(Q$3,4)&amp;", ","")&amp;IF($R50=1,RIGHT(R$3,4)&amp;", ","")&amp;IF($S50=1,RIGHT(S$3,4)&amp;", ","")&amp;IF($T50=1,RIGHT(T$3,4)&amp;", ","")&amp;IF($U50=1,RIGHT(U$3,4)&amp;", ","")&amp;IF($V50=1,RIGHT(V$3,4)&amp;", ","")&amp;IF($W50=1,RIGHT(W$3,4)&amp;", ","")&amp;IF($X50=1,RIGHT(X$3,4)&amp;", ","")&amp;IF($Y50=1,RIGHT(Y$3,4)&amp;", ","")&amp;IF($Z50=1, RIGHT(Z$3,4)&amp;", ", "")&amp;IF($AA50=1, RIGHT(AA$3,4)&amp;", ", "")&amp;IF($AB50=1, RIGHT(AB$3,4)&amp;", ", "")&amp;IF($AC50=1, RIGHT(AC$3,4)&amp;", ", "")&amp;IF($AD50=1, RIGHT(AD$3,4)&amp;", ", "")&amp;IF($AE50=1, RIGHT(AE$3,4)&amp;", ", "")&amp;IF($AF50=1, RIGHT(AF$3,4)&amp;", ", "")</f>
        <v xml:space="preserve">2014, </v>
      </c>
      <c r="AH50" t="s">
        <v>275</v>
      </c>
    </row>
    <row r="51" spans="1:34">
      <c r="A51" s="5">
        <f t="shared" si="0"/>
        <v>48</v>
      </c>
      <c r="B51" s="6" t="s">
        <v>77</v>
      </c>
      <c r="C51" s="7" t="s">
        <v>276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33"/>
      <c r="AD51" s="33"/>
      <c r="AE51" s="33"/>
      <c r="AF51" s="33"/>
      <c r="AG51" t="s">
        <v>227</v>
      </c>
    </row>
    <row r="52" spans="1:34">
      <c r="A52" s="5">
        <f t="shared" si="0"/>
        <v>49</v>
      </c>
      <c r="B52" s="6" t="s">
        <v>78</v>
      </c>
      <c r="C52" s="7" t="s">
        <v>277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21">
        <v>1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16">
        <v>0</v>
      </c>
      <c r="S52" s="8">
        <v>0</v>
      </c>
      <c r="T52" s="8">
        <v>0</v>
      </c>
      <c r="U52" s="22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33"/>
      <c r="AD52" s="33"/>
      <c r="AE52" s="33"/>
      <c r="AF52" s="33"/>
      <c r="AG52" t="str">
        <f>+IF($D52=1,RIGHT(D$3,4)&amp;", ","")&amp;IF($E52=1,RIGHT(E$3,4)&amp;", ","")&amp;IF($F52=1,RIGHT(F$3,4)&amp;", ","")&amp;IF($G52=1,RIGHT(G$3,4)&amp;", ","")&amp;IF($H52=1,RIGHT(H$3,4)&amp;", ","")&amp;IF($I52=1,RIGHT(I$3,4)&amp;", ","")&amp;IF($J52=1,RIGHT(J$3,4)&amp;", ","")&amp;IF($K52=1,RIGHT(K$3,4)&amp;", ","")&amp;IF($L52=1,RIGHT(L$3,4)&amp;", ","")&amp;IF($M52=1,RIGHT(M$3,4)&amp;", ","")&amp;IF($N52=1,RIGHT(N$3,4)&amp;", ","")&amp;IF($O52=1,RIGHT(O$3,4)&amp;", ","")&amp;IF($P52=1,RIGHT(P$3,4)&amp;", ","")&amp;IF($Q52=1,RIGHT(Q$3,4)&amp;", ","")&amp;IF($R52=1,RIGHT(R$3,4)&amp;", ","")&amp;IF($S52=1,RIGHT(S$3,4)&amp;", ","")&amp;IF($T52=1,RIGHT(T$3,4)&amp;", ","")&amp;IF($U52=1,RIGHT(U$3,4)&amp;", ","")&amp;IF($V52=1,RIGHT(V$3,4)&amp;", ","")&amp;IF($W52=1,RIGHT(W$3,4)&amp;", ","")&amp;IF($X52=1,RIGHT(X$3,4)&amp;", ","")&amp;IF($Y52=1,RIGHT(Y$3,4)&amp;", ","")&amp;IF($Z52=1, RIGHT(Z$3,4)&amp;", ", "")&amp;IF($AA52=1, RIGHT(AA$3,4)&amp;", ", "")&amp;IF($AB52=1, RIGHT(AB$3,4)&amp;", ", "")&amp;IF($AC52=1, RIGHT(AC$3,4)&amp;", ", "")&amp;IF($AD52=1, RIGHT(AD$3,4)&amp;", ", "")&amp;IF($AE52=1, RIGHT(AE$3,4)&amp;", ", "")&amp;IF($AF52=1, RIGHT(AF$3,4)&amp;", ", "")</f>
        <v xml:space="preserve">2003, 2013, </v>
      </c>
    </row>
    <row r="53" spans="1:34">
      <c r="A53" s="5">
        <f t="shared" si="0"/>
        <v>50</v>
      </c>
      <c r="B53" s="11" t="s">
        <v>79</v>
      </c>
      <c r="C53" s="12" t="s">
        <v>278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33"/>
      <c r="AD53" s="33"/>
      <c r="AE53" s="33"/>
      <c r="AF53" s="33"/>
      <c r="AG53" t="str">
        <f>+IF($D53=1,RIGHT(D$3,4)&amp;", ","")&amp;IF($E53=1,RIGHT(E$3,4)&amp;", ","")&amp;IF($F53=1,RIGHT(F$3,4)&amp;", ","")&amp;IF($G53=1,RIGHT(G$3,4)&amp;", ","")&amp;IF($H53=1,RIGHT(H$3,4)&amp;", ","")&amp;IF($I53=1,RIGHT(I$3,4)&amp;", ","")&amp;IF($J53=1,RIGHT(J$3,4)&amp;", ","")&amp;IF($K53=1,RIGHT(K$3,4)&amp;", ","")&amp;IF($L53=1,RIGHT(L$3,4)&amp;", ","")&amp;IF($M53=1,RIGHT(M$3,4)&amp;", ","")&amp;IF($N53=1,RIGHT(N$3,4)&amp;", ","")&amp;IF($O53=1,RIGHT(O$3,4)&amp;", ","")&amp;IF($P53=1,RIGHT(P$3,4)&amp;", ","")&amp;IF($Q53=1,RIGHT(Q$3,4)&amp;", ","")&amp;IF($R53=1,RIGHT(R$3,4)&amp;", ","")&amp;IF($S53=1,RIGHT(S$3,4)&amp;", ","")&amp;IF($T53=1,RIGHT(T$3,4)&amp;", ","")&amp;IF($U53=1,RIGHT(U$3,4)&amp;", ","")&amp;IF($V53=1,RIGHT(V$3,4)&amp;", ","")&amp;IF($W53=1,RIGHT(W$3,4)&amp;", ","")&amp;IF($X53=1,RIGHT(X$3,4)&amp;", ","")&amp;IF($Y53=1,RIGHT(Y$3,4)&amp;", ","")&amp;IF($Z53=1, RIGHT(Z$3,4)&amp;", ", "")&amp;IF($AA53=1, RIGHT(AA$3,4)&amp;", ", "")&amp;IF($AB53=1, RIGHT(AB$3,4)&amp;", ", "")&amp;IF($AC53=1, RIGHT(AC$3,4)&amp;", ", "")&amp;IF($AD53=1, RIGHT(AD$3,4)&amp;", ", "")&amp;IF($AE53=1, RIGHT(AE$3,4)&amp;", ", "")&amp;IF($AF53=1, RIGHT(AF$3,4)&amp;", ", "")</f>
        <v/>
      </c>
    </row>
    <row r="54" spans="1:34">
      <c r="A54" s="5">
        <f t="shared" si="0"/>
        <v>51</v>
      </c>
      <c r="B54" s="6" t="s">
        <v>80</v>
      </c>
      <c r="C54" s="7" t="s">
        <v>279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33"/>
      <c r="AD54" s="33"/>
      <c r="AE54" s="33"/>
      <c r="AF54" s="33"/>
      <c r="AG54" t="s">
        <v>227</v>
      </c>
    </row>
    <row r="55" spans="1:34">
      <c r="A55" s="5">
        <f t="shared" si="0"/>
        <v>52</v>
      </c>
      <c r="B55" s="6" t="s">
        <v>81</v>
      </c>
      <c r="C55" s="7" t="s">
        <v>280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33"/>
      <c r="AD55" s="33"/>
      <c r="AE55" s="33"/>
      <c r="AF55" s="33"/>
      <c r="AG55" t="str">
        <f>+IF($D55=1,RIGHT(D$3,4)&amp;", ","")&amp;IF($E55=1,RIGHT(E$3,4)&amp;", ","")&amp;IF($F55=1,RIGHT(F$3,4)&amp;", ","")&amp;IF($G55=1,RIGHT(G$3,4)&amp;", ","")&amp;IF($H55=1,RIGHT(H$3,4)&amp;", ","")&amp;IF($I55=1,RIGHT(I$3,4)&amp;", ","")&amp;IF($J55=1,RIGHT(J$3,4)&amp;", ","")&amp;IF($K55=1,RIGHT(K$3,4)&amp;", ","")&amp;IF($L55=1,RIGHT(L$3,4)&amp;", ","")&amp;IF($M55=1,RIGHT(M$3,4)&amp;", ","")&amp;IF($N55=1,RIGHT(N$3,4)&amp;", ","")&amp;IF($O55=1,RIGHT(O$3,4)&amp;", ","")&amp;IF($P55=1,RIGHT(P$3,4)&amp;", ","")&amp;IF($Q55=1,RIGHT(Q$3,4)&amp;", ","")&amp;IF($R55=1,RIGHT(R$3,4)&amp;", ","")&amp;IF($S55=1,RIGHT(S$3,4)&amp;", ","")&amp;IF($T55=1,RIGHT(T$3,4)&amp;", ","")&amp;IF($U55=1,RIGHT(U$3,4)&amp;", ","")&amp;IF($V55=1,RIGHT(V$3,4)&amp;", ","")&amp;IF($W55=1,RIGHT(W$3,4)&amp;", ","")&amp;IF($X55=1,RIGHT(X$3,4)&amp;", ","")&amp;IF($Y55=1,RIGHT(Y$3,4)&amp;", ","")&amp;IF($Z55=1, RIGHT(Z$3,4)&amp;", ", "")&amp;IF($AA55=1, RIGHT(AA$3,4)&amp;", ", "")&amp;IF($AB55=1, RIGHT(AB$3,4)&amp;", ", "")&amp;IF($AC55=1, RIGHT(AC$3,4)&amp;", ", "")&amp;IF($AD55=1, RIGHT(AD$3,4)&amp;", ", "")&amp;IF($AE55=1, RIGHT(AE$3,4)&amp;", ", "")&amp;IF($AF55=1, RIGHT(AF$3,4)&amp;", ", "")</f>
        <v/>
      </c>
    </row>
    <row r="56" spans="1:34">
      <c r="A56" s="5">
        <f t="shared" si="0"/>
        <v>53</v>
      </c>
      <c r="B56" s="6" t="s">
        <v>82</v>
      </c>
      <c r="C56" s="7" t="s">
        <v>281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33"/>
      <c r="AD56" s="33"/>
      <c r="AE56" s="33"/>
      <c r="AF56" s="33"/>
      <c r="AG56" t="str">
        <f>+IF($D56=1,RIGHT(D$3,4)&amp;", ","")&amp;IF($E56=1,RIGHT(E$3,4)&amp;", ","")&amp;IF($F56=1,RIGHT(F$3,4)&amp;", ","")&amp;IF($G56=1,RIGHT(G$3,4)&amp;", ","")&amp;IF($H56=1,RIGHT(H$3,4)&amp;", ","")&amp;IF($I56=1,RIGHT(I$3,4)&amp;", ","")&amp;IF($J56=1,RIGHT(J$3,4)&amp;", ","")&amp;IF($K56=1,RIGHT(K$3,4)&amp;", ","")&amp;IF($L56=1,RIGHT(L$3,4)&amp;", ","")&amp;IF($M56=1,RIGHT(M$3,4)&amp;", ","")&amp;IF($N56=1,RIGHT(N$3,4)&amp;", ","")&amp;IF($O56=1,RIGHT(O$3,4)&amp;", ","")&amp;IF($P56=1,RIGHT(P$3,4)&amp;", ","")&amp;IF($Q56=1,RIGHT(Q$3,4)&amp;", ","")&amp;IF($R56=1,RIGHT(R$3,4)&amp;", ","")&amp;IF($S56=1,RIGHT(S$3,4)&amp;", ","")&amp;IF($T56=1,RIGHT(T$3,4)&amp;", ","")&amp;IF($U56=1,RIGHT(U$3,4)&amp;", ","")&amp;IF($V56=1,RIGHT(V$3,4)&amp;", ","")&amp;IF($W56=1,RIGHT(W$3,4)&amp;", ","")&amp;IF($X56=1,RIGHT(X$3,4)&amp;", ","")&amp;IF($Y56=1,RIGHT(Y$3,4)&amp;", ","")&amp;IF($Z56=1, RIGHT(Z$3,4)&amp;", ", "")&amp;IF($AA56=1, RIGHT(AA$3,4)&amp;", ", "")&amp;IF($AB56=1, RIGHT(AB$3,4)&amp;", ", "")&amp;IF($AC56=1, RIGHT(AC$3,4)&amp;", ", "")&amp;IF($AD56=1, RIGHT(AD$3,4)&amp;", ", "")&amp;IF($AE56=1, RIGHT(AE$3,4)&amp;", ", "")&amp;IF($AF56=1, RIGHT(AF$3,4)&amp;", ", "")</f>
        <v/>
      </c>
    </row>
    <row r="57" spans="1:34">
      <c r="A57" s="5">
        <f t="shared" si="0"/>
        <v>54</v>
      </c>
      <c r="B57" s="6" t="s">
        <v>83</v>
      </c>
      <c r="C57" s="7" t="s">
        <v>282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33"/>
      <c r="AD57" s="33"/>
      <c r="AE57" s="33"/>
      <c r="AF57" s="33"/>
      <c r="AG57" t="str">
        <f>+IF($D57=1,RIGHT(D$3,4)&amp;", ","")&amp;IF($E57=1,RIGHT(E$3,4)&amp;", ","")&amp;IF($F57=1,RIGHT(F$3,4)&amp;", ","")&amp;IF($G57=1,RIGHT(G$3,4)&amp;", ","")&amp;IF($H57=1,RIGHT(H$3,4)&amp;", ","")&amp;IF($I57=1,RIGHT(I$3,4)&amp;", ","")&amp;IF($J57=1,RIGHT(J$3,4)&amp;", ","")&amp;IF($K57=1,RIGHT(K$3,4)&amp;", ","")&amp;IF($L57=1,RIGHT(L$3,4)&amp;", ","")&amp;IF($M57=1,RIGHT(M$3,4)&amp;", ","")&amp;IF($N57=1,RIGHT(N$3,4)&amp;", ","")&amp;IF($O57=1,RIGHT(O$3,4)&amp;", ","")&amp;IF($P57=1,RIGHT(P$3,4)&amp;", ","")&amp;IF($Q57=1,RIGHT(Q$3,4)&amp;", ","")&amp;IF($R57=1,RIGHT(R$3,4)&amp;", ","")&amp;IF($S57=1,RIGHT(S$3,4)&amp;", ","")&amp;IF($T57=1,RIGHT(T$3,4)&amp;", ","")&amp;IF($U57=1,RIGHT(U$3,4)&amp;", ","")&amp;IF($V57=1,RIGHT(V$3,4)&amp;", ","")&amp;IF($W57=1,RIGHT(W$3,4)&amp;", ","")&amp;IF($X57=1,RIGHT(X$3,4)&amp;", ","")&amp;IF($Y57=1,RIGHT(Y$3,4)&amp;", ","")&amp;IF($Z57=1, RIGHT(Z$3,4)&amp;", ", "")&amp;IF($AA57=1, RIGHT(AA$3,4)&amp;", ", "")&amp;IF($AB57=1, RIGHT(AB$3,4)&amp;", ", "")&amp;IF($AC57=1, RIGHT(AC$3,4)&amp;", ", "")&amp;IF($AD57=1, RIGHT(AD$3,4)&amp;", ", "")&amp;IF($AE57=1, RIGHT(AE$3,4)&amp;", ", "")&amp;IF($AF57=1, RIGHT(AF$3,4)&amp;", ", "")</f>
        <v/>
      </c>
    </row>
    <row r="58" spans="1:34">
      <c r="A58" s="5">
        <f t="shared" si="0"/>
        <v>55</v>
      </c>
      <c r="B58" s="6" t="s">
        <v>84</v>
      </c>
      <c r="C58" s="7" t="s">
        <v>283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33"/>
      <c r="AD58" s="33"/>
      <c r="AE58" s="33"/>
      <c r="AF58" s="33"/>
      <c r="AG58" t="str">
        <f>+IF($D58=1,RIGHT(D$3,4)&amp;", ","")&amp;IF($E58=1,RIGHT(E$3,4)&amp;", ","")&amp;IF($F58=1,RIGHT(F$3,4)&amp;", ","")&amp;IF($G58=1,RIGHT(G$3,4)&amp;", ","")&amp;IF($H58=1,RIGHT(H$3,4)&amp;", ","")&amp;IF($I58=1,RIGHT(I$3,4)&amp;", ","")&amp;IF($J58=1,RIGHT(J$3,4)&amp;", ","")&amp;IF($K58=1,RIGHT(K$3,4)&amp;", ","")&amp;IF($L58=1,RIGHT(L$3,4)&amp;", ","")&amp;IF($M58=1,RIGHT(M$3,4)&amp;", ","")&amp;IF($N58=1,RIGHT(N$3,4)&amp;", ","")&amp;IF($O58=1,RIGHT(O$3,4)&amp;", ","")&amp;IF($P58=1,RIGHT(P$3,4)&amp;", ","")&amp;IF($Q58=1,RIGHT(Q$3,4)&amp;", ","")&amp;IF($R58=1,RIGHT(R$3,4)&amp;", ","")&amp;IF($S58=1,RIGHT(S$3,4)&amp;", ","")&amp;IF($T58=1,RIGHT(T$3,4)&amp;", ","")&amp;IF($U58=1,RIGHT(U$3,4)&amp;", ","")&amp;IF($V58=1,RIGHT(V$3,4)&amp;", ","")&amp;IF($W58=1,RIGHT(W$3,4)&amp;", ","")&amp;IF($X58=1,RIGHT(X$3,4)&amp;", ","")&amp;IF($Y58=1,RIGHT(Y$3,4)&amp;", ","")&amp;IF($Z58=1, RIGHT(Z$3,4)&amp;", ", "")&amp;IF($AA58=1, RIGHT(AA$3,4)&amp;", ", "")&amp;IF($AB58=1, RIGHT(AB$3,4)&amp;", ", "")&amp;IF($AC58=1, RIGHT(AC$3,4)&amp;", ", "")&amp;IF($AD58=1, RIGHT(AD$3,4)&amp;", ", "")&amp;IF($AE58=1, RIGHT(AE$3,4)&amp;", ", "")&amp;IF($AF58=1, RIGHT(AF$3,4)&amp;", ", "")</f>
        <v/>
      </c>
    </row>
    <row r="59" spans="1:34">
      <c r="A59" s="5">
        <f t="shared" si="0"/>
        <v>56</v>
      </c>
      <c r="B59" s="6" t="s">
        <v>85</v>
      </c>
      <c r="C59" s="7" t="s">
        <v>284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33"/>
      <c r="AD59" s="33"/>
      <c r="AE59" s="33"/>
      <c r="AF59" s="33"/>
      <c r="AG59" t="s">
        <v>227</v>
      </c>
    </row>
    <row r="60" spans="1:34">
      <c r="A60" s="5">
        <f t="shared" si="0"/>
        <v>57</v>
      </c>
      <c r="B60" s="9" t="s">
        <v>86</v>
      </c>
      <c r="C60" s="10" t="s">
        <v>285</v>
      </c>
      <c r="D60" s="8">
        <v>0</v>
      </c>
      <c r="E60" s="8">
        <v>0</v>
      </c>
      <c r="F60" s="22">
        <v>1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21">
        <v>1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22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33"/>
      <c r="AD60" s="33"/>
      <c r="AE60" s="33"/>
      <c r="AF60" s="33"/>
      <c r="AG60" t="s">
        <v>227</v>
      </c>
    </row>
    <row r="61" spans="1:34">
      <c r="A61" s="5">
        <f t="shared" si="0"/>
        <v>58</v>
      </c>
      <c r="B61" s="6" t="s">
        <v>87</v>
      </c>
      <c r="C61" s="7" t="s">
        <v>286</v>
      </c>
      <c r="D61" s="22">
        <v>1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22">
        <v>1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33"/>
      <c r="AD61" s="33"/>
      <c r="AE61" s="33"/>
      <c r="AF61" s="33"/>
      <c r="AG61" t="s">
        <v>227</v>
      </c>
    </row>
    <row r="62" spans="1:34">
      <c r="A62" s="5">
        <f t="shared" si="0"/>
        <v>59</v>
      </c>
      <c r="B62" s="9" t="s">
        <v>88</v>
      </c>
      <c r="C62" s="10" t="s">
        <v>287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33"/>
      <c r="AD62" s="33"/>
      <c r="AE62" s="33"/>
      <c r="AF62" s="33"/>
      <c r="AG62" t="s">
        <v>227</v>
      </c>
    </row>
    <row r="63" spans="1:34">
      <c r="A63" s="5">
        <f t="shared" si="0"/>
        <v>60</v>
      </c>
      <c r="B63" s="6" t="s">
        <v>89</v>
      </c>
      <c r="C63" s="7" t="s">
        <v>288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33"/>
      <c r="AD63" s="33"/>
      <c r="AE63" s="33"/>
      <c r="AF63" s="33"/>
      <c r="AG63" t="str">
        <f>+IF($D63=1,RIGHT(D$3,4)&amp;", ","")&amp;IF($E63=1,RIGHT(E$3,4)&amp;", ","")&amp;IF($F63=1,RIGHT(F$3,4)&amp;", ","")&amp;IF($G63=1,RIGHT(G$3,4)&amp;", ","")&amp;IF($H63=1,RIGHT(H$3,4)&amp;", ","")&amp;IF($I63=1,RIGHT(I$3,4)&amp;", ","")&amp;IF($J63=1,RIGHT(J$3,4)&amp;", ","")&amp;IF($K63=1,RIGHT(K$3,4)&amp;", ","")&amp;IF($L63=1,RIGHT(L$3,4)&amp;", ","")&amp;IF($M63=1,RIGHT(M$3,4)&amp;", ","")&amp;IF($N63=1,RIGHT(N$3,4)&amp;", ","")&amp;IF($O63=1,RIGHT(O$3,4)&amp;", ","")&amp;IF($P63=1,RIGHT(P$3,4)&amp;", ","")&amp;IF($Q63=1,RIGHT(Q$3,4)&amp;", ","")&amp;IF($R63=1,RIGHT(R$3,4)&amp;", ","")&amp;IF($S63=1,RIGHT(S$3,4)&amp;", ","")&amp;IF($T63=1,RIGHT(T$3,4)&amp;", ","")&amp;IF($U63=1,RIGHT(U$3,4)&amp;", ","")&amp;IF($V63=1,RIGHT(V$3,4)&amp;", ","")&amp;IF($W63=1,RIGHT(W$3,4)&amp;", ","")&amp;IF($X63=1,RIGHT(X$3,4)&amp;", ","")&amp;IF($Y63=1,RIGHT(Y$3,4)&amp;", ","")&amp;IF($Z63=1, RIGHT(Z$3,4)&amp;", ", "")&amp;IF($AA63=1, RIGHT(AA$3,4)&amp;", ", "")&amp;IF($AB63=1, RIGHT(AB$3,4)&amp;", ", "")&amp;IF($AC63=1, RIGHT(AC$3,4)&amp;", ", "")&amp;IF($AD63=1, RIGHT(AD$3,4)&amp;", ", "")&amp;IF($AE63=1, RIGHT(AE$3,4)&amp;", ", "")&amp;IF($AF63=1, RIGHT(AF$3,4)&amp;", ", "")</f>
        <v/>
      </c>
    </row>
    <row r="64" spans="1:34">
      <c r="A64" s="5">
        <f t="shared" si="0"/>
        <v>61</v>
      </c>
      <c r="B64" s="6" t="s">
        <v>90</v>
      </c>
      <c r="C64" s="7" t="s">
        <v>289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33"/>
      <c r="AD64" s="33"/>
      <c r="AE64" s="33"/>
      <c r="AF64" s="33"/>
      <c r="AG64" t="s">
        <v>227</v>
      </c>
    </row>
    <row r="65" spans="1:33">
      <c r="A65" s="5">
        <f t="shared" si="0"/>
        <v>62</v>
      </c>
      <c r="B65" s="6" t="s">
        <v>91</v>
      </c>
      <c r="C65" s="7" t="s">
        <v>290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22">
        <v>1</v>
      </c>
      <c r="O65" s="8">
        <v>0</v>
      </c>
      <c r="P65" s="8">
        <v>0</v>
      </c>
      <c r="Q65" s="8">
        <v>0</v>
      </c>
      <c r="R65" s="8">
        <v>0</v>
      </c>
      <c r="S65" s="22">
        <v>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22">
        <v>1</v>
      </c>
      <c r="AA65" s="8">
        <v>0</v>
      </c>
      <c r="AB65" s="8">
        <v>0</v>
      </c>
      <c r="AC65" s="33"/>
      <c r="AD65" s="33"/>
      <c r="AE65" s="33"/>
      <c r="AF65" s="33"/>
      <c r="AG65" t="str">
        <f>+IF($D65=1,RIGHT(D$3,4)&amp;", ","")&amp;IF($E65=1,RIGHT(E$3,4)&amp;", ","")&amp;IF($F65=1,RIGHT(F$3,4)&amp;", ","")&amp;IF($G65=1,RIGHT(G$3,4)&amp;", ","")&amp;IF($H65=1,RIGHT(H$3,4)&amp;", ","")&amp;IF($I65=1,RIGHT(I$3,4)&amp;", ","")&amp;IF($J65=1,RIGHT(J$3,4)&amp;", ","")&amp;IF($K65=1,RIGHT(K$3,4)&amp;", ","")&amp;IF($L65=1,RIGHT(L$3,4)&amp;", ","")&amp;IF($M65=1,RIGHT(M$3,4)&amp;", ","")&amp;IF($N65=1,RIGHT(N$3,4)&amp;", ","")&amp;IF($O65=1,RIGHT(O$3,4)&amp;", ","")&amp;IF($P65=1,RIGHT(P$3,4)&amp;", ","")&amp;IF($Q65=1,RIGHT(Q$3,4)&amp;", ","")&amp;IF($R65=1,RIGHT(R$3,4)&amp;", ","")&amp;IF($S65=1,RIGHT(S$3,4)&amp;", ","")&amp;IF($T65=1,RIGHT(T$3,4)&amp;", ","")&amp;IF($U65=1,RIGHT(U$3,4)&amp;", ","")&amp;IF($V65=1,RIGHT(V$3,4)&amp;", ","")&amp;IF($W65=1,RIGHT(W$3,4)&amp;", ","")&amp;IF($X65=1,RIGHT(X$3,4)&amp;", ","")&amp;IF($Y65=1,RIGHT(Y$3,4)&amp;", ","")&amp;IF($Z65=1, RIGHT(Z$3,4)&amp;", ", "")&amp;IF($AA65=1, RIGHT(AA$3,4)&amp;", ", "")&amp;IF($AB65=1, RIGHT(AB$3,4)&amp;", ", "")&amp;IF($AC65=1, RIGHT(AC$3,4)&amp;", ", "")&amp;IF($AD65=1, RIGHT(AD$3,4)&amp;", ", "")&amp;IF($AE65=1, RIGHT(AE$3,4)&amp;", ", "")&amp;IF($AF65=1, RIGHT(AF$3,4)&amp;", ", "")</f>
        <v xml:space="preserve">2006, 2011, 2018, </v>
      </c>
    </row>
    <row r="66" spans="1:33">
      <c r="A66" s="5">
        <f t="shared" si="0"/>
        <v>63</v>
      </c>
      <c r="B66" s="6" t="s">
        <v>92</v>
      </c>
      <c r="C66" s="7" t="s">
        <v>291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33"/>
      <c r="AD66" s="33"/>
      <c r="AE66" s="33"/>
      <c r="AF66" s="33"/>
      <c r="AG66" t="s">
        <v>227</v>
      </c>
    </row>
    <row r="67" spans="1:33">
      <c r="A67" s="5">
        <f t="shared" si="0"/>
        <v>64</v>
      </c>
      <c r="B67" s="6" t="s">
        <v>93</v>
      </c>
      <c r="C67" s="7" t="s">
        <v>292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21">
        <v>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22">
        <v>1</v>
      </c>
      <c r="Z67" s="8">
        <v>0</v>
      </c>
      <c r="AA67" s="8">
        <v>0</v>
      </c>
      <c r="AB67" s="8">
        <v>0</v>
      </c>
      <c r="AC67" s="33"/>
      <c r="AD67" s="33"/>
      <c r="AE67" s="33"/>
      <c r="AF67" s="33"/>
      <c r="AG67" t="str">
        <f>+IF($D67=1,RIGHT(D$3,4)&amp;", ","")&amp;IF($E67=1,RIGHT(E$3,4)&amp;", ","")&amp;IF($F67=1,RIGHT(F$3,4)&amp;", ","")&amp;IF($G67=1,RIGHT(G$3,4)&amp;", ","")&amp;IF($H67=1,RIGHT(H$3,4)&amp;", ","")&amp;IF($I67=1,RIGHT(I$3,4)&amp;", ","")&amp;IF($J67=1,RIGHT(J$3,4)&amp;", ","")&amp;IF($K67=1,RIGHT(K$3,4)&amp;", ","")&amp;IF($L67=1,RIGHT(L$3,4)&amp;", ","")&amp;IF($M67=1,RIGHT(M$3,4)&amp;", ","")&amp;IF($N67=1,RIGHT(N$3,4)&amp;", ","")&amp;IF($O67=1,RIGHT(O$3,4)&amp;", ","")&amp;IF($P67=1,RIGHT(P$3,4)&amp;", ","")&amp;IF($Q67=1,RIGHT(Q$3,4)&amp;", ","")&amp;IF($R67=1,RIGHT(R$3,4)&amp;", ","")&amp;IF($S67=1,RIGHT(S$3,4)&amp;", ","")&amp;IF($T67=1,RIGHT(T$3,4)&amp;", ","")&amp;IF($U67=1,RIGHT(U$3,4)&amp;", ","")&amp;IF($V67=1,RIGHT(V$3,4)&amp;", ","")&amp;IF($W67=1,RIGHT(W$3,4)&amp;", ","")&amp;IF($X67=1,RIGHT(X$3,4)&amp;", ","")&amp;IF($Y67=1,RIGHT(Y$3,4)&amp;", ","")&amp;IF($Z67=1, RIGHT(Z$3,4)&amp;", ", "")&amp;IF($AA67=1, RIGHT(AA$3,4)&amp;", ", "")&amp;IF($AB67=1, RIGHT(AB$3,4)&amp;", ", "")&amp;IF($AC67=1, RIGHT(AC$3,4)&amp;", ", "")&amp;IF($AD67=1, RIGHT(AD$3,4)&amp;", ", "")&amp;IF($AE67=1, RIGHT(AE$3,4)&amp;", ", "")&amp;IF($AF67=1, RIGHT(AF$3,4)&amp;", ", "")</f>
        <v xml:space="preserve">2010, 2017, </v>
      </c>
    </row>
    <row r="68" spans="1:33">
      <c r="A68" s="5">
        <f t="shared" si="0"/>
        <v>65</v>
      </c>
      <c r="B68" s="6" t="s">
        <v>94</v>
      </c>
      <c r="C68" s="7" t="s">
        <v>293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33"/>
      <c r="AD68" s="33"/>
      <c r="AE68" s="33"/>
      <c r="AF68" s="33"/>
      <c r="AG68" t="str">
        <f>+IF($D68=1,RIGHT(D$3,4)&amp;", ","")&amp;IF($E68=1,RIGHT(E$3,4)&amp;", ","")&amp;IF($F68=1,RIGHT(F$3,4)&amp;", ","")&amp;IF($G68=1,RIGHT(G$3,4)&amp;", ","")&amp;IF($H68=1,RIGHT(H$3,4)&amp;", ","")&amp;IF($I68=1,RIGHT(I$3,4)&amp;", ","")&amp;IF($J68=1,RIGHT(J$3,4)&amp;", ","")&amp;IF($K68=1,RIGHT(K$3,4)&amp;", ","")&amp;IF($L68=1,RIGHT(L$3,4)&amp;", ","")&amp;IF($M68=1,RIGHT(M$3,4)&amp;", ","")&amp;IF($N68=1,RIGHT(N$3,4)&amp;", ","")&amp;IF($O68=1,RIGHT(O$3,4)&amp;", ","")&amp;IF($P68=1,RIGHT(P$3,4)&amp;", ","")&amp;IF($Q68=1,RIGHT(Q$3,4)&amp;", ","")&amp;IF($R68=1,RIGHT(R$3,4)&amp;", ","")&amp;IF($S68=1,RIGHT(S$3,4)&amp;", ","")&amp;IF($T68=1,RIGHT(T$3,4)&amp;", ","")&amp;IF($U68=1,RIGHT(U$3,4)&amp;", ","")&amp;IF($V68=1,RIGHT(V$3,4)&amp;", ","")&amp;IF($W68=1,RIGHT(W$3,4)&amp;", ","")&amp;IF($X68=1,RIGHT(X$3,4)&amp;", ","")&amp;IF($Y68=1,RIGHT(Y$3,4)&amp;", ","")&amp;IF($Z68=1, RIGHT(Z$3,4)&amp;", ", "")&amp;IF($AA68=1, RIGHT(AA$3,4)&amp;", ", "")&amp;IF($AB68=1, RIGHT(AB$3,4)&amp;", ", "")&amp;IF($AC68=1, RIGHT(AC$3,4)&amp;", ", "")&amp;IF($AD68=1, RIGHT(AD$3,4)&amp;", ", "")&amp;IF($AE68=1, RIGHT(AE$3,4)&amp;", ", "")&amp;IF($AF68=1, RIGHT(AF$3,4)&amp;", ", "")</f>
        <v/>
      </c>
    </row>
    <row r="69" spans="1:33">
      <c r="A69" s="5">
        <f t="shared" ref="A69:A132" si="1">1+A68</f>
        <v>66</v>
      </c>
      <c r="B69" s="6" t="s">
        <v>95</v>
      </c>
      <c r="C69" s="7" t="s">
        <v>294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33"/>
      <c r="AD69" s="33"/>
      <c r="AE69" s="33"/>
      <c r="AF69" s="33"/>
      <c r="AG69" t="s">
        <v>227</v>
      </c>
    </row>
    <row r="70" spans="1:33">
      <c r="A70" s="5">
        <f t="shared" si="1"/>
        <v>67</v>
      </c>
      <c r="B70" s="6" t="s">
        <v>96</v>
      </c>
      <c r="C70" s="7" t="s">
        <v>295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33"/>
      <c r="AD70" s="33"/>
      <c r="AE70" s="33"/>
      <c r="AF70" s="33"/>
      <c r="AG70" t="s">
        <v>227</v>
      </c>
    </row>
    <row r="71" spans="1:33">
      <c r="A71" s="5">
        <f t="shared" si="1"/>
        <v>68</v>
      </c>
      <c r="B71" s="11" t="s">
        <v>97</v>
      </c>
      <c r="C71" s="12" t="s">
        <v>296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21">
        <v>1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22">
        <v>1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22">
        <v>1</v>
      </c>
      <c r="AB71" s="8">
        <v>0</v>
      </c>
      <c r="AC71" s="33"/>
      <c r="AD71" s="33"/>
      <c r="AE71" s="33"/>
      <c r="AF71" s="33"/>
      <c r="AG71" t="s">
        <v>227</v>
      </c>
    </row>
    <row r="72" spans="1:33">
      <c r="A72" s="5">
        <f t="shared" si="1"/>
        <v>69</v>
      </c>
      <c r="B72" s="9" t="s">
        <v>98</v>
      </c>
      <c r="C72" s="10" t="s">
        <v>297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33"/>
      <c r="AD72" s="33"/>
      <c r="AE72" s="33"/>
      <c r="AF72" s="33"/>
      <c r="AG72" t="s">
        <v>227</v>
      </c>
    </row>
    <row r="73" spans="1:33">
      <c r="A73" s="5">
        <f t="shared" si="1"/>
        <v>70</v>
      </c>
      <c r="B73" s="6" t="s">
        <v>99</v>
      </c>
      <c r="C73" s="7" t="s">
        <v>298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22">
        <v>1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33"/>
      <c r="AD73" s="33"/>
      <c r="AE73" s="33"/>
      <c r="AF73" s="33"/>
      <c r="AG73" t="s">
        <v>227</v>
      </c>
    </row>
    <row r="74" spans="1:33">
      <c r="A74" s="5">
        <f t="shared" si="1"/>
        <v>71</v>
      </c>
      <c r="B74" s="6" t="s">
        <v>100</v>
      </c>
      <c r="C74" s="7" t="s">
        <v>299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29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22">
        <v>1</v>
      </c>
      <c r="Z74" s="8">
        <v>0</v>
      </c>
      <c r="AA74" s="8">
        <v>0</v>
      </c>
      <c r="AB74" s="8">
        <v>0</v>
      </c>
      <c r="AC74" s="33"/>
      <c r="AD74" s="33"/>
      <c r="AE74" s="33"/>
      <c r="AF74" s="33"/>
      <c r="AG74" t="str">
        <f>+IF($D74=1,RIGHT(D$3,4)&amp;", ","")&amp;IF($E74=1,RIGHT(E$3,4)&amp;", ","")&amp;IF($F74=1,RIGHT(F$3,4)&amp;", ","")&amp;IF($G74=1,RIGHT(G$3,4)&amp;", ","")&amp;IF($H74=1,RIGHT(H$3,4)&amp;", ","")&amp;IF($I74=1,RIGHT(I$3,4)&amp;", ","")&amp;IF($J74=1,RIGHT(J$3,4)&amp;", ","")&amp;IF($K74=1,RIGHT(K$3,4)&amp;", ","")&amp;IF($L74=1,RIGHT(L$3,4)&amp;", ","")&amp;IF($M74=1,RIGHT(M$3,4)&amp;", ","")&amp;IF($N74=1,RIGHT(N$3,4)&amp;", ","")&amp;IF($O74=1,RIGHT(O$3,4)&amp;", ","")&amp;IF($P74=1,RIGHT(P$3,4)&amp;", ","")&amp;IF($Q74=1,RIGHT(Q$3,4)&amp;", ","")&amp;IF($R74=1,RIGHT(R$3,4)&amp;", ","")&amp;IF($S74=1,RIGHT(S$3,4)&amp;", ","")&amp;IF($T74=1,RIGHT(T$3,4)&amp;", ","")&amp;IF($U74=1,RIGHT(U$3,4)&amp;", ","")&amp;IF($V74=1,RIGHT(V$3,4)&amp;", ","")&amp;IF($W74=1,RIGHT(W$3,4)&amp;", ","")&amp;IF($X74=1,RIGHT(X$3,4)&amp;", ","")&amp;IF($Y74=1,RIGHT(Y$3,4)&amp;", ","")&amp;IF($Z74=1, RIGHT(Z$3,4)&amp;", ", "")&amp;IF($AA74=1, RIGHT(AA$3,4)&amp;", ", "")&amp;IF($AB74=1, RIGHT(AB$3,4)&amp;", ", "")&amp;IF($AC74=1, RIGHT(AC$3,4)&amp;", ", "")&amp;IF($AD74=1, RIGHT(AD$3,4)&amp;", ", "")&amp;IF($AE74=1, RIGHT(AE$3,4)&amp;", ", "")&amp;IF($AF74=1, RIGHT(AF$3,4)&amp;", ", "")</f>
        <v xml:space="preserve">2017, </v>
      </c>
    </row>
    <row r="75" spans="1:33">
      <c r="A75" s="5">
        <f t="shared" si="1"/>
        <v>72</v>
      </c>
      <c r="B75" s="6" t="s">
        <v>101</v>
      </c>
      <c r="C75" s="7" t="s">
        <v>300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33"/>
      <c r="AD75" s="33"/>
      <c r="AE75" s="33"/>
      <c r="AF75" s="33"/>
      <c r="AG75" t="str">
        <f>+IF($D75=1,RIGHT(D$3,4)&amp;", ","")&amp;IF($E75=1,RIGHT(E$3,4)&amp;", ","")&amp;IF($F75=1,RIGHT(F$3,4)&amp;", ","")&amp;IF($G75=1,RIGHT(G$3,4)&amp;", ","")&amp;IF($H75=1,RIGHT(H$3,4)&amp;", ","")&amp;IF($I75=1,RIGHT(I$3,4)&amp;", ","")&amp;IF($J75=1,RIGHT(J$3,4)&amp;", ","")&amp;IF($K75=1,RIGHT(K$3,4)&amp;", ","")&amp;IF($L75=1,RIGHT(L$3,4)&amp;", ","")&amp;IF($M75=1,RIGHT(M$3,4)&amp;", ","")&amp;IF($N75=1,RIGHT(N$3,4)&amp;", ","")&amp;IF($O75=1,RIGHT(O$3,4)&amp;", ","")&amp;IF($P75=1,RIGHT(P$3,4)&amp;", ","")&amp;IF($Q75=1,RIGHT(Q$3,4)&amp;", ","")&amp;IF($R75=1,RIGHT(R$3,4)&amp;", ","")&amp;IF($S75=1,RIGHT(S$3,4)&amp;", ","")&amp;IF($T75=1,RIGHT(T$3,4)&amp;", ","")&amp;IF($U75=1,RIGHT(U$3,4)&amp;", ","")&amp;IF($V75=1,RIGHT(V$3,4)&amp;", ","")&amp;IF($W75=1,RIGHT(W$3,4)&amp;", ","")&amp;IF($X75=1,RIGHT(X$3,4)&amp;", ","")&amp;IF($Y75=1,RIGHT(Y$3,4)&amp;", ","")&amp;IF($Z75=1, RIGHT(Z$3,4)&amp;", ", "")&amp;IF($AA75=1, RIGHT(AA$3,4)&amp;", ", "")&amp;IF($AB75=1, RIGHT(AB$3,4)&amp;", ", "")&amp;IF($AC75=1, RIGHT(AC$3,4)&amp;", ", "")&amp;IF($AD75=1, RIGHT(AD$3,4)&amp;", ", "")&amp;IF($AE75=1, RIGHT(AE$3,4)&amp;", ", "")&amp;IF($AF75=1, RIGHT(AF$3,4)&amp;", ", "")</f>
        <v/>
      </c>
    </row>
    <row r="76" spans="1:33">
      <c r="A76" s="5">
        <f t="shared" si="1"/>
        <v>73</v>
      </c>
      <c r="B76" s="9" t="s">
        <v>102</v>
      </c>
      <c r="C76" s="10" t="s">
        <v>301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33"/>
      <c r="AD76" s="33"/>
      <c r="AE76" s="33"/>
      <c r="AF76" s="33"/>
      <c r="AG76" t="s">
        <v>227</v>
      </c>
    </row>
    <row r="77" spans="1:33">
      <c r="A77" s="5">
        <f t="shared" si="1"/>
        <v>74</v>
      </c>
      <c r="B77" s="6" t="s">
        <v>103</v>
      </c>
      <c r="C77" s="7" t="s">
        <v>302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33"/>
      <c r="AD77" s="33"/>
      <c r="AE77" s="33"/>
      <c r="AF77" s="33"/>
      <c r="AG77" t="str">
        <f>+IF($D77=1,RIGHT(D$3,4)&amp;", ","")&amp;IF($E77=1,RIGHT(E$3,4)&amp;", ","")&amp;IF($F77=1,RIGHT(F$3,4)&amp;", ","")&amp;IF($G77=1,RIGHT(G$3,4)&amp;", ","")&amp;IF($H77=1,RIGHT(H$3,4)&amp;", ","")&amp;IF($I77=1,RIGHT(I$3,4)&amp;", ","")&amp;IF($J77=1,RIGHT(J$3,4)&amp;", ","")&amp;IF($K77=1,RIGHT(K$3,4)&amp;", ","")&amp;IF($L77=1,RIGHT(L$3,4)&amp;", ","")&amp;IF($M77=1,RIGHT(M$3,4)&amp;", ","")&amp;IF($N77=1,RIGHT(N$3,4)&amp;", ","")&amp;IF($O77=1,RIGHT(O$3,4)&amp;", ","")&amp;IF($P77=1,RIGHT(P$3,4)&amp;", ","")&amp;IF($Q77=1,RIGHT(Q$3,4)&amp;", ","")&amp;IF($R77=1,RIGHT(R$3,4)&amp;", ","")&amp;IF($S77=1,RIGHT(S$3,4)&amp;", ","")&amp;IF($T77=1,RIGHT(T$3,4)&amp;", ","")&amp;IF($U77=1,RIGHT(U$3,4)&amp;", ","")&amp;IF($V77=1,RIGHT(V$3,4)&amp;", ","")&amp;IF($W77=1,RIGHT(W$3,4)&amp;", ","")&amp;IF($X77=1,RIGHT(X$3,4)&amp;", ","")&amp;IF($Y77=1,RIGHT(Y$3,4)&amp;", ","")&amp;IF($Z77=1, RIGHT(Z$3,4)&amp;", ", "")&amp;IF($AA77=1, RIGHT(AA$3,4)&amp;", ", "")&amp;IF($AB77=1, RIGHT(AB$3,4)&amp;", ", "")&amp;IF($AC77=1, RIGHT(AC$3,4)&amp;", ", "")&amp;IF($AD77=1, RIGHT(AD$3,4)&amp;", ", "")&amp;IF($AE77=1, RIGHT(AE$3,4)&amp;", ", "")&amp;IF($AF77=1, RIGHT(AF$3,4)&amp;", ", "")</f>
        <v/>
      </c>
    </row>
    <row r="78" spans="1:33">
      <c r="A78" s="5">
        <f t="shared" si="1"/>
        <v>75</v>
      </c>
      <c r="B78" s="11" t="s">
        <v>104</v>
      </c>
      <c r="C78" s="12" t="s">
        <v>303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22">
        <v>1</v>
      </c>
      <c r="Y78" s="8">
        <v>0</v>
      </c>
      <c r="Z78" s="8">
        <v>0</v>
      </c>
      <c r="AA78" s="8">
        <v>0</v>
      </c>
      <c r="AB78" s="8">
        <v>0</v>
      </c>
      <c r="AC78" s="33"/>
      <c r="AD78" s="33"/>
      <c r="AE78" s="33"/>
      <c r="AF78" s="33"/>
      <c r="AG78" t="str">
        <f>+IF($D78=1,RIGHT(D$3,4)&amp;", ","")&amp;IF($E78=1,RIGHT(E$3,4)&amp;", ","")&amp;IF($F78=1,RIGHT(F$3,4)&amp;", ","")&amp;IF($G78=1,RIGHT(G$3,4)&amp;", ","")&amp;IF($H78=1,RIGHT(H$3,4)&amp;", ","")&amp;IF($I78=1,RIGHT(I$3,4)&amp;", ","")&amp;IF($J78=1,RIGHT(J$3,4)&amp;", ","")&amp;IF($K78=1,RIGHT(K$3,4)&amp;", ","")&amp;IF($L78=1,RIGHT(L$3,4)&amp;", ","")&amp;IF($M78=1,RIGHT(M$3,4)&amp;", ","")&amp;IF($N78=1,RIGHT(N$3,4)&amp;", ","")&amp;IF($O78=1,RIGHT(O$3,4)&amp;", ","")&amp;IF($P78=1,RIGHT(P$3,4)&amp;", ","")&amp;IF($Q78=1,RIGHT(Q$3,4)&amp;", ","")&amp;IF($R78=1,RIGHT(R$3,4)&amp;", ","")&amp;IF($S78=1,RIGHT(S$3,4)&amp;", ","")&amp;IF($T78=1,RIGHT(T$3,4)&amp;", ","")&amp;IF($U78=1,RIGHT(U$3,4)&amp;", ","")&amp;IF($V78=1,RIGHT(V$3,4)&amp;", ","")&amp;IF($W78=1,RIGHT(W$3,4)&amp;", ","")&amp;IF($X78=1,RIGHT(X$3,4)&amp;", ","")&amp;IF($Y78=1,RIGHT(Y$3,4)&amp;", ","")&amp;IF($Z78=1, RIGHT(Z$3,4)&amp;", ", "")&amp;IF($AA78=1, RIGHT(AA$3,4)&amp;", ", "")&amp;IF($AB78=1, RIGHT(AB$3,4)&amp;", ", "")&amp;IF($AC78=1, RIGHT(AC$3,4)&amp;", ", "")&amp;IF($AD78=1, RIGHT(AD$3,4)&amp;", ", "")&amp;IF($AE78=1, RIGHT(AE$3,4)&amp;", ", "")&amp;IF($AF78=1, RIGHT(AF$3,4)&amp;", ", "")</f>
        <v xml:space="preserve">2016, </v>
      </c>
    </row>
    <row r="79" spans="1:33">
      <c r="A79" s="5">
        <f t="shared" si="1"/>
        <v>76</v>
      </c>
      <c r="B79" s="6" t="s">
        <v>105</v>
      </c>
      <c r="C79" s="7" t="s">
        <v>304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22">
        <v>1</v>
      </c>
      <c r="Y79" s="8">
        <v>0</v>
      </c>
      <c r="Z79" s="8">
        <v>0</v>
      </c>
      <c r="AA79" s="8">
        <v>0</v>
      </c>
      <c r="AB79" s="8">
        <v>0</v>
      </c>
      <c r="AC79" s="33"/>
      <c r="AD79" s="33"/>
      <c r="AE79" s="33"/>
      <c r="AF79" s="33"/>
      <c r="AG79" t="s">
        <v>227</v>
      </c>
    </row>
    <row r="80" spans="1:33">
      <c r="A80" s="5">
        <f t="shared" si="1"/>
        <v>77</v>
      </c>
      <c r="B80" s="6" t="s">
        <v>106</v>
      </c>
      <c r="C80" s="7" t="s">
        <v>305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33"/>
      <c r="AD80" s="33"/>
      <c r="AE80" s="33"/>
      <c r="AF80" s="33"/>
      <c r="AG80" t="s">
        <v>227</v>
      </c>
    </row>
    <row r="81" spans="1:34">
      <c r="A81" s="5">
        <f t="shared" si="1"/>
        <v>78</v>
      </c>
      <c r="B81" s="6" t="s">
        <v>107</v>
      </c>
      <c r="C81" s="7" t="s">
        <v>306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33"/>
      <c r="AD81" s="33"/>
      <c r="AE81" s="33"/>
      <c r="AF81" s="33"/>
      <c r="AG81" t="str">
        <f>+IF($D81=1,RIGHT(D$3,4)&amp;", ","")&amp;IF($E81=1,RIGHT(E$3,4)&amp;", ","")&amp;IF($F81=1,RIGHT(F$3,4)&amp;", ","")&amp;IF($G81=1,RIGHT(G$3,4)&amp;", ","")&amp;IF($H81=1,RIGHT(H$3,4)&amp;", ","")&amp;IF($I81=1,RIGHT(I$3,4)&amp;", ","")&amp;IF($J81=1,RIGHT(J$3,4)&amp;", ","")&amp;IF($K81=1,RIGHT(K$3,4)&amp;", ","")&amp;IF($L81=1,RIGHT(L$3,4)&amp;", ","")&amp;IF($M81=1,RIGHT(M$3,4)&amp;", ","")&amp;IF($N81=1,RIGHT(N$3,4)&amp;", ","")&amp;IF($O81=1,RIGHT(O$3,4)&amp;", ","")&amp;IF($P81=1,RIGHT(P$3,4)&amp;", ","")&amp;IF($Q81=1,RIGHT(Q$3,4)&amp;", ","")&amp;IF($R81=1,RIGHT(R$3,4)&amp;", ","")&amp;IF($S81=1,RIGHT(S$3,4)&amp;", ","")&amp;IF($T81=1,RIGHT(T$3,4)&amp;", ","")&amp;IF($U81=1,RIGHT(U$3,4)&amp;", ","")&amp;IF($V81=1,RIGHT(V$3,4)&amp;", ","")&amp;IF($W81=1,RIGHT(W$3,4)&amp;", ","")&amp;IF($X81=1,RIGHT(X$3,4)&amp;", ","")&amp;IF($Y81=1,RIGHT(Y$3,4)&amp;", ","")&amp;IF($Z81=1, RIGHT(Z$3,4)&amp;", ", "")&amp;IF($AA81=1, RIGHT(AA$3,4)&amp;", ", "")&amp;IF($AB81=1, RIGHT(AB$3,4)&amp;", ", "")&amp;IF($AC81=1, RIGHT(AC$3,4)&amp;", ", "")&amp;IF($AD81=1, RIGHT(AD$3,4)&amp;", ", "")&amp;IF($AE81=1, RIGHT(AE$3,4)&amp;", ", "")&amp;IF($AF81=1, RIGHT(AF$3,4)&amp;", ", "")</f>
        <v/>
      </c>
    </row>
    <row r="82" spans="1:34">
      <c r="A82" s="5">
        <f t="shared" si="1"/>
        <v>79</v>
      </c>
      <c r="B82" s="11" t="s">
        <v>108</v>
      </c>
      <c r="C82" s="12" t="s">
        <v>307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33"/>
      <c r="AD82" s="33"/>
      <c r="AE82" s="33"/>
      <c r="AF82" s="33"/>
      <c r="AG82" t="s">
        <v>227</v>
      </c>
    </row>
    <row r="83" spans="1:34">
      <c r="A83" s="5">
        <f t="shared" si="1"/>
        <v>80</v>
      </c>
      <c r="B83" s="13" t="s">
        <v>109</v>
      </c>
      <c r="C83" s="12" t="s">
        <v>308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33"/>
      <c r="AD83" s="33"/>
      <c r="AE83" s="33"/>
      <c r="AF83" s="33"/>
      <c r="AG83" t="str">
        <f>+IF($D83=1,RIGHT(D$3,4)&amp;", ","")&amp;IF($E83=1,RIGHT(E$3,4)&amp;", ","")&amp;IF($F83=1,RIGHT(F$3,4)&amp;", ","")&amp;IF($G83=1,RIGHT(G$3,4)&amp;", ","")&amp;IF($H83=1,RIGHT(H$3,4)&amp;", ","")&amp;IF($I83=1,RIGHT(I$3,4)&amp;", ","")&amp;IF($J83=1,RIGHT(J$3,4)&amp;", ","")&amp;IF($K83=1,RIGHT(K$3,4)&amp;", ","")&amp;IF($L83=1,RIGHT(L$3,4)&amp;", ","")&amp;IF($M83=1,RIGHT(M$3,4)&amp;", ","")&amp;IF($N83=1,RIGHT(N$3,4)&amp;", ","")&amp;IF($O83=1,RIGHT(O$3,4)&amp;", ","")&amp;IF($P83=1,RIGHT(P$3,4)&amp;", ","")&amp;IF($Q83=1,RIGHT(Q$3,4)&amp;", ","")&amp;IF($R83=1,RIGHT(R$3,4)&amp;", ","")&amp;IF($S83=1,RIGHT(S$3,4)&amp;", ","")&amp;IF($T83=1,RIGHT(T$3,4)&amp;", ","")&amp;IF($U83=1,RIGHT(U$3,4)&amp;", ","")&amp;IF($V83=1,RIGHT(V$3,4)&amp;", ","")&amp;IF($W83=1,RIGHT(W$3,4)&amp;", ","")&amp;IF($X83=1,RIGHT(X$3,4)&amp;", ","")&amp;IF($Y83=1,RIGHT(Y$3,4)&amp;", ","")&amp;IF($Z83=1, RIGHT(Z$3,4)&amp;", ", "")&amp;IF($AA83=1, RIGHT(AA$3,4)&amp;", ", "")&amp;IF($AB83=1, RIGHT(AB$3,4)&amp;", ", "")&amp;IF($AC83=1, RIGHT(AC$3,4)&amp;", ", "")&amp;IF($AD83=1, RIGHT(AD$3,4)&amp;", ", "")&amp;IF($AE83=1, RIGHT(AE$3,4)&amp;", ", "")&amp;IF($AF83=1, RIGHT(AF$3,4)&amp;", ", "")</f>
        <v/>
      </c>
    </row>
    <row r="84" spans="1:34">
      <c r="A84" s="5">
        <f t="shared" si="1"/>
        <v>81</v>
      </c>
      <c r="B84" s="6" t="s">
        <v>110</v>
      </c>
      <c r="C84" s="7" t="s">
        <v>309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22">
        <v>1</v>
      </c>
      <c r="K84" s="8">
        <v>0</v>
      </c>
      <c r="L84" s="8">
        <v>0</v>
      </c>
      <c r="M84" s="8">
        <v>0</v>
      </c>
      <c r="N84" s="8">
        <v>0</v>
      </c>
      <c r="O84" s="22">
        <v>1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22">
        <v>1</v>
      </c>
      <c r="V84" s="8">
        <v>0</v>
      </c>
      <c r="W84" s="8">
        <v>0</v>
      </c>
      <c r="X84" s="8">
        <v>0</v>
      </c>
      <c r="Y84" s="8">
        <v>0</v>
      </c>
      <c r="Z84" s="22">
        <v>1</v>
      </c>
      <c r="AA84" s="8">
        <v>0</v>
      </c>
      <c r="AB84" s="8">
        <v>0</v>
      </c>
      <c r="AC84" s="33"/>
      <c r="AD84" s="33"/>
      <c r="AE84" s="33"/>
      <c r="AF84" s="33"/>
      <c r="AG84" t="s">
        <v>227</v>
      </c>
    </row>
    <row r="85" spans="1:34">
      <c r="A85" s="5">
        <f t="shared" si="1"/>
        <v>82</v>
      </c>
      <c r="B85" s="6" t="s">
        <v>111</v>
      </c>
      <c r="C85" s="7" t="s">
        <v>310</v>
      </c>
      <c r="D85" s="8">
        <v>0</v>
      </c>
      <c r="E85" s="8">
        <v>0</v>
      </c>
      <c r="F85" s="8">
        <v>0</v>
      </c>
      <c r="G85" s="22">
        <v>1</v>
      </c>
      <c r="H85" s="8">
        <v>0</v>
      </c>
      <c r="I85" s="8">
        <v>0</v>
      </c>
      <c r="J85" s="8">
        <v>0</v>
      </c>
      <c r="K85" s="8">
        <v>0</v>
      </c>
      <c r="L85" s="22">
        <v>1</v>
      </c>
      <c r="M85" s="8">
        <v>0</v>
      </c>
      <c r="N85" s="8">
        <v>0</v>
      </c>
      <c r="O85" s="8">
        <v>0</v>
      </c>
      <c r="P85" s="8">
        <v>0</v>
      </c>
      <c r="Q85" s="22">
        <v>1</v>
      </c>
      <c r="R85" s="8">
        <v>0</v>
      </c>
      <c r="S85" s="8">
        <v>0</v>
      </c>
      <c r="T85" s="8">
        <v>0</v>
      </c>
      <c r="U85" s="8">
        <v>0</v>
      </c>
      <c r="V85" s="22">
        <v>1</v>
      </c>
      <c r="W85" s="8">
        <v>0</v>
      </c>
      <c r="X85" s="8">
        <v>0</v>
      </c>
      <c r="Y85" s="8">
        <v>0</v>
      </c>
      <c r="Z85" s="8">
        <v>0</v>
      </c>
      <c r="AA85" s="22">
        <v>1</v>
      </c>
      <c r="AB85" s="8">
        <v>0</v>
      </c>
      <c r="AC85" s="33"/>
      <c r="AD85" s="33"/>
      <c r="AE85" s="33"/>
      <c r="AF85" s="33"/>
      <c r="AG85" t="s">
        <v>227</v>
      </c>
    </row>
    <row r="86" spans="1:34">
      <c r="A86" s="5">
        <f t="shared" si="1"/>
        <v>83</v>
      </c>
      <c r="B86" s="6" t="s">
        <v>112</v>
      </c>
      <c r="C86" s="7" t="s">
        <v>311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33"/>
      <c r="AD86" s="33"/>
      <c r="AE86" s="33"/>
      <c r="AF86" s="33"/>
      <c r="AG86" t="str">
        <f>+IF($D86=1,RIGHT(D$3,4)&amp;", ","")&amp;IF($E86=1,RIGHT(E$3,4)&amp;", ","")&amp;IF($F86=1,RIGHT(F$3,4)&amp;", ","")&amp;IF($G86=1,RIGHT(G$3,4)&amp;", ","")&amp;IF($H86=1,RIGHT(H$3,4)&amp;", ","")&amp;IF($I86=1,RIGHT(I$3,4)&amp;", ","")&amp;IF($J86=1,RIGHT(J$3,4)&amp;", ","")&amp;IF($K86=1,RIGHT(K$3,4)&amp;", ","")&amp;IF($L86=1,RIGHT(L$3,4)&amp;", ","")&amp;IF($M86=1,RIGHT(M$3,4)&amp;", ","")&amp;IF($N86=1,RIGHT(N$3,4)&amp;", ","")&amp;IF($O86=1,RIGHT(O$3,4)&amp;", ","")&amp;IF($P86=1,RIGHT(P$3,4)&amp;", ","")&amp;IF($Q86=1,RIGHT(Q$3,4)&amp;", ","")&amp;IF($R86=1,RIGHT(R$3,4)&amp;", ","")&amp;IF($S86=1,RIGHT(S$3,4)&amp;", ","")&amp;IF($T86=1,RIGHT(T$3,4)&amp;", ","")&amp;IF($U86=1,RIGHT(U$3,4)&amp;", ","")&amp;IF($V86=1,RIGHT(V$3,4)&amp;", ","")&amp;IF($W86=1,RIGHT(W$3,4)&amp;", ","")&amp;IF($X86=1,RIGHT(X$3,4)&amp;", ","")&amp;IF($Y86=1,RIGHT(Y$3,4)&amp;", ","")&amp;IF($Z86=1, RIGHT(Z$3,4)&amp;", ", "")&amp;IF($AA86=1, RIGHT(AA$3,4)&amp;", ", "")&amp;IF($AB86=1, RIGHT(AB$3,4)&amp;", ", "")&amp;IF($AC86=1, RIGHT(AC$3,4)&amp;", ", "")&amp;IF($AD86=1, RIGHT(AD$3,4)&amp;", ", "")&amp;IF($AE86=1, RIGHT(AE$3,4)&amp;", ", "")&amp;IF($AF86=1, RIGHT(AF$3,4)&amp;", ", "")</f>
        <v/>
      </c>
    </row>
    <row r="87" spans="1:34">
      <c r="A87" s="5">
        <f t="shared" si="1"/>
        <v>84</v>
      </c>
      <c r="B87" s="6" t="s">
        <v>113</v>
      </c>
      <c r="C87" s="7" t="s">
        <v>312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33"/>
      <c r="AD87" s="33"/>
      <c r="AE87" s="33"/>
      <c r="AF87" s="33"/>
      <c r="AG87" t="s">
        <v>227</v>
      </c>
    </row>
    <row r="88" spans="1:34">
      <c r="A88" s="5">
        <f t="shared" si="1"/>
        <v>85</v>
      </c>
      <c r="B88" s="6" t="s">
        <v>114</v>
      </c>
      <c r="C88" s="7" t="s">
        <v>313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33"/>
      <c r="AD88" s="33"/>
      <c r="AE88" s="33"/>
      <c r="AF88" s="33"/>
      <c r="AG88" t="s">
        <v>227</v>
      </c>
    </row>
    <row r="89" spans="1:34">
      <c r="A89" s="5">
        <f t="shared" si="1"/>
        <v>86</v>
      </c>
      <c r="B89" s="6" t="s">
        <v>115</v>
      </c>
      <c r="C89" s="7" t="s">
        <v>314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33"/>
      <c r="AD89" s="33"/>
      <c r="AE89" s="33"/>
      <c r="AF89" s="33"/>
      <c r="AG89" t="s">
        <v>227</v>
      </c>
    </row>
    <row r="90" spans="1:34">
      <c r="A90" s="5">
        <f t="shared" si="1"/>
        <v>87</v>
      </c>
      <c r="B90" s="9" t="s">
        <v>116</v>
      </c>
      <c r="C90" s="10" t="s">
        <v>315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22">
        <v>1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33"/>
      <c r="AD90" s="33"/>
      <c r="AE90" s="33"/>
      <c r="AF90" s="33"/>
      <c r="AG90" t="str">
        <f>+IF($D90=1,RIGHT(D$3,4)&amp;", ","")&amp;IF($E90=1,RIGHT(E$3,4)&amp;", ","")&amp;IF($F90=1,RIGHT(F$3,4)&amp;", ","")&amp;IF($G90=1,RIGHT(G$3,4)&amp;", ","")&amp;IF($H90=1,RIGHT(H$3,4)&amp;", ","")&amp;IF($I90=1,RIGHT(I$3,4)&amp;", ","")&amp;IF($J90=1,RIGHT(J$3,4)&amp;", ","")&amp;IF($K90=1,RIGHT(K$3,4)&amp;", ","")&amp;IF($L90=1,RIGHT(L$3,4)&amp;", ","")&amp;IF($M90=1,RIGHT(M$3,4)&amp;", ","")&amp;IF($N90=1,RIGHT(N$3,4)&amp;", ","")&amp;IF($O90=1,RIGHT(O$3,4)&amp;", ","")&amp;IF($P90=1,RIGHT(P$3,4)&amp;", ","")&amp;IF($Q90=1,RIGHT(Q$3,4)&amp;", ","")&amp;IF($R90=1,RIGHT(R$3,4)&amp;", ","")&amp;IF($S90=1,RIGHT(S$3,4)&amp;", ","")&amp;IF($T90=1,RIGHT(T$3,4)&amp;", ","")&amp;IF($U90=1,RIGHT(U$3,4)&amp;", ","")&amp;IF($V90=1,RIGHT(V$3,4)&amp;", ","")&amp;IF($W90=1,RIGHT(W$3,4)&amp;", ","")&amp;IF($X90=1,RIGHT(X$3,4)&amp;", ","")&amp;IF($Y90=1,RIGHT(Y$3,4)&amp;", ","")&amp;IF($Z90=1, RIGHT(Z$3,4)&amp;", ", "")&amp;IF($AA90=1, RIGHT(AA$3,4)&amp;", ", "")&amp;IF($AB90=1, RIGHT(AB$3,4)&amp;", ", "")&amp;IF($AC90=1, RIGHT(AC$3,4)&amp;", ", "")&amp;IF($AD90=1, RIGHT(AD$3,4)&amp;", ", "")&amp;IF($AE90=1, RIGHT(AE$3,4)&amp;", ", "")&amp;IF($AF90=1, RIGHT(AF$3,4)&amp;", ", "")</f>
        <v xml:space="preserve">2001, </v>
      </c>
    </row>
    <row r="91" spans="1:34">
      <c r="A91" s="5">
        <f t="shared" si="1"/>
        <v>88</v>
      </c>
      <c r="B91" s="6" t="s">
        <v>117</v>
      </c>
      <c r="C91" s="18" t="s">
        <v>316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20">
        <v>1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33"/>
      <c r="AD91" s="33"/>
      <c r="AE91" s="33"/>
      <c r="AF91" s="33"/>
      <c r="AG91" t="str">
        <f>+IF($D91=1,RIGHT(D$3,4)&amp;", ","")&amp;IF($E91=1,RIGHT(E$3,4)&amp;", ","")&amp;IF($F91=1,RIGHT(F$3,4)&amp;", ","")&amp;IF($G91=1,RIGHT(G$3,4)&amp;", ","")&amp;IF($H91=1,RIGHT(H$3,4)&amp;", ","")&amp;IF($I91=1,RIGHT(I$3,4)&amp;", ","")&amp;IF($J91=1,RIGHT(J$3,4)&amp;", ","")&amp;IF($K91=1,RIGHT(K$3,4)&amp;", ","")&amp;IF($L91=1,RIGHT(L$3,4)&amp;", ","")&amp;IF($M91=1,RIGHT(M$3,4)&amp;", ","")&amp;IF($N91=1,RIGHT(N$3,4)&amp;", ","")&amp;IF($O91=1,RIGHT(O$3,4)&amp;", ","")&amp;IF($P91=1,RIGHT(P$3,4)&amp;", ","")&amp;IF($Q91=1,RIGHT(Q$3,4)&amp;", ","")&amp;IF($R91=1,RIGHT(R$3,4)&amp;", ","")&amp;IF($S91=1,RIGHT(S$3,4)&amp;", ","")&amp;IF($T91=1,RIGHT(T$3,4)&amp;", ","")&amp;IF($U91=1,RIGHT(U$3,4)&amp;", ","")&amp;IF($V91=1,RIGHT(V$3,4)&amp;", ","")&amp;IF($W91=1,RIGHT(W$3,4)&amp;", ","")&amp;IF($X91=1,RIGHT(X$3,4)&amp;", ","")&amp;IF($Y91=1,RIGHT(Y$3,4)&amp;", ","")&amp;IF($Z91=1, RIGHT(Z$3,4)&amp;", ", "")&amp;IF($AA91=1, RIGHT(AA$3,4)&amp;", ", "")&amp;IF($AB91=1, RIGHT(AB$3,4)&amp;", ", "")&amp;IF($AC91=1, RIGHT(AC$3,4)&amp;", ", "")&amp;IF($AD91=1, RIGHT(AD$3,4)&amp;", ", "")&amp;IF($AE91=1, RIGHT(AE$3,4)&amp;", ", "")&amp;IF($AF91=1, RIGHT(AF$3,4)&amp;", ", "")</f>
        <v xml:space="preserve">2014, </v>
      </c>
    </row>
    <row r="92" spans="1:34">
      <c r="A92" s="5">
        <f t="shared" si="1"/>
        <v>89</v>
      </c>
      <c r="B92" s="6" t="s">
        <v>118</v>
      </c>
      <c r="C92" s="7" t="s">
        <v>317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33"/>
      <c r="AD92" s="33"/>
      <c r="AE92" s="33"/>
      <c r="AF92" s="33"/>
      <c r="AG92" t="s">
        <v>227</v>
      </c>
    </row>
    <row r="93" spans="1:34">
      <c r="A93" s="5">
        <f t="shared" si="1"/>
        <v>90</v>
      </c>
      <c r="B93" s="6" t="s">
        <v>119</v>
      </c>
      <c r="C93" s="7" t="s">
        <v>318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1</v>
      </c>
      <c r="AB93" s="8">
        <v>0</v>
      </c>
      <c r="AC93" s="33"/>
      <c r="AD93" s="33"/>
      <c r="AE93" s="33"/>
      <c r="AF93" s="33"/>
      <c r="AG93" t="str">
        <f>+IF($D93=1,RIGHT(D$3,4)&amp;", ","")&amp;IF($E93=1,RIGHT(E$3,4)&amp;", ","")&amp;IF($F93=1,RIGHT(F$3,4)&amp;", ","")&amp;IF($G93=1,RIGHT(G$3,4)&amp;", ","")&amp;IF($H93=1,RIGHT(H$3,4)&amp;", ","")&amp;IF($I93=1,RIGHT(I$3,4)&amp;", ","")&amp;IF($J93=1,RIGHT(J$3,4)&amp;", ","")&amp;IF($K93=1,RIGHT(K$3,4)&amp;", ","")&amp;IF($L93=1,RIGHT(L$3,4)&amp;", ","")&amp;IF($M93=1,RIGHT(M$3,4)&amp;", ","")&amp;IF($N93=1,RIGHT(N$3,4)&amp;", ","")&amp;IF($O93=1,RIGHT(O$3,4)&amp;", ","")&amp;IF($P93=1,RIGHT(P$3,4)&amp;", ","")&amp;IF($Q93=1,RIGHT(Q$3,4)&amp;", ","")&amp;IF($R93=1,RIGHT(R$3,4)&amp;", ","")&amp;IF($S93=1,RIGHT(S$3,4)&amp;", ","")&amp;IF($T93=1,RIGHT(T$3,4)&amp;", ","")&amp;IF($U93=1,RIGHT(U$3,4)&amp;", ","")&amp;IF($V93=1,RIGHT(V$3,4)&amp;", ","")&amp;IF($W93=1,RIGHT(W$3,4)&amp;", ","")&amp;IF($X93=1,RIGHT(X$3,4)&amp;", ","")&amp;IF($Y93=1,RIGHT(Y$3,4)&amp;", ","")&amp;IF($Z93=1, RIGHT(Z$3,4)&amp;", ", "")&amp;IF($AA93=1, RIGHT(AA$3,4)&amp;", ", "")&amp;IF($AB93=1, RIGHT(AB$3,4)&amp;", ", "")&amp;IF($AC93=1, RIGHT(AC$3,4)&amp;", ", "")&amp;IF($AD93=1, RIGHT(AD$3,4)&amp;", ", "")&amp;IF($AE93=1, RIGHT(AE$3,4)&amp;", ", "")&amp;IF($AF93=1, RIGHT(AF$3,4)&amp;", ", "")</f>
        <v xml:space="preserve">2019, </v>
      </c>
    </row>
    <row r="94" spans="1:34">
      <c r="A94" s="5">
        <f t="shared" si="1"/>
        <v>91</v>
      </c>
      <c r="B94" s="6" t="s">
        <v>120</v>
      </c>
      <c r="C94" s="7" t="s">
        <v>319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33"/>
      <c r="AD94" s="33"/>
      <c r="AE94" s="33"/>
      <c r="AF94" s="33"/>
      <c r="AG94" t="str">
        <f>+IF($D94=1,RIGHT(D$3,4)&amp;", ","")&amp;IF($E94=1,RIGHT(E$3,4)&amp;", ","")&amp;IF($F94=1,RIGHT(F$3,4)&amp;", ","")&amp;IF($G94=1,RIGHT(G$3,4)&amp;", ","")&amp;IF($H94=1,RIGHT(H$3,4)&amp;", ","")&amp;IF($I94=1,RIGHT(I$3,4)&amp;", ","")&amp;IF($J94=1,RIGHT(J$3,4)&amp;", ","")&amp;IF($K94=1,RIGHT(K$3,4)&amp;", ","")&amp;IF($L94=1,RIGHT(L$3,4)&amp;", ","")&amp;IF($M94=1,RIGHT(M$3,4)&amp;", ","")&amp;IF($N94=1,RIGHT(N$3,4)&amp;", ","")&amp;IF($O94=1,RIGHT(O$3,4)&amp;", ","")&amp;IF($P94=1,RIGHT(P$3,4)&amp;", ","")&amp;IF($Q94=1,RIGHT(Q$3,4)&amp;", ","")&amp;IF($R94=1,RIGHT(R$3,4)&amp;", ","")&amp;IF($S94=1,RIGHT(S$3,4)&amp;", ","")&amp;IF($T94=1,RIGHT(T$3,4)&amp;", ","")&amp;IF($U94=1,RIGHT(U$3,4)&amp;", ","")&amp;IF($V94=1,RIGHT(V$3,4)&amp;", ","")&amp;IF($W94=1,RIGHT(W$3,4)&amp;", ","")&amp;IF($X94=1,RIGHT(X$3,4)&amp;", ","")&amp;IF($Y94=1,RIGHT(Y$3,4)&amp;", ","")&amp;IF($Z94=1, RIGHT(Z$3,4)&amp;", ", "")&amp;IF($AA94=1, RIGHT(AA$3,4)&amp;", ", "")&amp;IF($AB94=1, RIGHT(AB$3,4)&amp;", ", "")&amp;IF($AC94=1, RIGHT(AC$3,4)&amp;", ", "")&amp;IF($AD94=1, RIGHT(AD$3,4)&amp;", ", "")&amp;IF($AE94=1, RIGHT(AE$3,4)&amp;", ", "")&amp;IF($AF94=1, RIGHT(AF$3,4)&amp;", ", "")</f>
        <v/>
      </c>
    </row>
    <row r="95" spans="1:34">
      <c r="A95" s="5">
        <f t="shared" si="1"/>
        <v>92</v>
      </c>
      <c r="B95" s="6" t="s">
        <v>121</v>
      </c>
      <c r="C95" s="7" t="s">
        <v>320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21">
        <v>1</v>
      </c>
      <c r="J95" s="8">
        <v>0</v>
      </c>
      <c r="K95" s="8">
        <v>0</v>
      </c>
      <c r="L95" s="8">
        <v>0</v>
      </c>
      <c r="M95" s="8">
        <v>0</v>
      </c>
      <c r="N95" s="21">
        <v>1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22">
        <v>1</v>
      </c>
      <c r="AA95" s="8">
        <v>0</v>
      </c>
      <c r="AB95" s="8">
        <v>0</v>
      </c>
      <c r="AC95" s="33"/>
      <c r="AD95" s="33"/>
      <c r="AE95" s="33"/>
      <c r="AF95" s="33"/>
      <c r="AG95" t="str">
        <f>+IF($D95=1,RIGHT(D$3,4)&amp;", ","")&amp;IF($E95=1,RIGHT(E$3,4)&amp;", ","")&amp;IF($F95=1,RIGHT(F$3,4)&amp;", ","")&amp;IF($G95=1,RIGHT(G$3,4)&amp;", ","")&amp;IF($H95=1,RIGHT(H$3,4)&amp;", ","")&amp;IF($I95=1,RIGHT(I$3,4)&amp;", ","")&amp;IF($J95=1,RIGHT(J$3,4)&amp;", ","")&amp;IF($K95=1,RIGHT(K$3,4)&amp;", ","")&amp;IF($L95=1,RIGHT(L$3,4)&amp;", ","")&amp;IF($M95=1,RIGHT(M$3,4)&amp;", ","")&amp;IF($N95=1,RIGHT(N$3,4)&amp;", ","")&amp;IF($O95=1,RIGHT(O$3,4)&amp;", ","")&amp;IF($P95=1,RIGHT(P$3,4)&amp;", ","")&amp;IF($Q95=1,RIGHT(Q$3,4)&amp;", ","")&amp;IF($R95=1,RIGHT(R$3,4)&amp;", ","")&amp;IF($S95=1,RIGHT(S$3,4)&amp;", ","")&amp;IF($T95=1,RIGHT(T$3,4)&amp;", ","")&amp;IF($U95=1,RIGHT(U$3,4)&amp;", ","")&amp;IF($V95=1,RIGHT(V$3,4)&amp;", ","")&amp;IF($W95=1,RIGHT(W$3,4)&amp;", ","")&amp;IF($X95=1,RIGHT(X$3,4)&amp;", ","")&amp;IF($Y95=1,RIGHT(Y$3,4)&amp;", ","")&amp;IF($Z95=1, RIGHT(Z$3,4)&amp;", ", "")&amp;IF($AA95=1, RIGHT(AA$3,4)&amp;", ", "")&amp;IF($AB95=1, RIGHT(AB$3,4)&amp;", ", "")&amp;IF($AC95=1, RIGHT(AC$3,4)&amp;", ", "")&amp;IF($AD95=1, RIGHT(AD$3,4)&amp;", ", "")&amp;IF($AE95=1, RIGHT(AE$3,4)&amp;", ", "")&amp;IF($AF95=1, RIGHT(AF$3,4)&amp;", ", "")</f>
        <v xml:space="preserve">2001, 2006, 2018, </v>
      </c>
    </row>
    <row r="96" spans="1:34">
      <c r="A96" s="5">
        <f t="shared" si="1"/>
        <v>93</v>
      </c>
      <c r="B96" s="6" t="s">
        <v>122</v>
      </c>
      <c r="C96" s="7" t="s">
        <v>321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1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33"/>
      <c r="AD96" s="33"/>
      <c r="AE96" s="33"/>
      <c r="AF96" s="33"/>
      <c r="AG96" t="str">
        <f>+IF($D96=1,RIGHT(D$3,4)&amp;", ","")&amp;IF($E96=1,RIGHT(E$3,4)&amp;", ","")&amp;IF($F96=1,RIGHT(F$3,4)&amp;", ","")&amp;IF($G96=1,RIGHT(G$3,4)&amp;", ","")&amp;IF($H96=1,RIGHT(H$3,4)&amp;", ","")&amp;IF($I96=1,RIGHT(I$3,4)&amp;", ","")&amp;IF($J96=1,RIGHT(J$3,4)&amp;", ","")&amp;IF($K96=1,RIGHT(K$3,4)&amp;", ","")&amp;IF($L96=1,RIGHT(L$3,4)&amp;", ","")&amp;IF($M96=1,RIGHT(M$3,4)&amp;", ","")&amp;IF($N96=1,RIGHT(N$3,4)&amp;", ","")&amp;IF($O96=1,RIGHT(O$3,4)&amp;", ","")&amp;IF($P96=1,RIGHT(P$3,4)&amp;", ","")&amp;IF($Q96=1,RIGHT(Q$3,4)&amp;", ","")&amp;IF($R96=1,RIGHT(R$3,4)&amp;", ","")&amp;IF($S96=1,RIGHT(S$3,4)&amp;", ","")&amp;IF($T96=1,RIGHT(T$3,4)&amp;", ","")&amp;IF($U96=1,RIGHT(U$3,4)&amp;", ","")&amp;IF($V96=1,RIGHT(V$3,4)&amp;", ","")&amp;IF($W96=1,RIGHT(W$3,4)&amp;", ","")&amp;IF($X96=1,RIGHT(X$3,4)&amp;", ","")&amp;IF($Y96=1,RIGHT(Y$3,4)&amp;", ","")&amp;IF($Z96=1, RIGHT(Z$3,4)&amp;", ", "")&amp;IF($AA96=1, RIGHT(AA$3,4)&amp;", ", "")&amp;IF($AB96=1, RIGHT(AB$3,4)&amp;", ", "")&amp;IF($AC96=1, RIGHT(AC$3,4)&amp;", ", "")&amp;IF($AD96=1, RIGHT(AD$3,4)&amp;", ", "")&amp;IF($AE96=1, RIGHT(AE$3,4)&amp;", ", "")&amp;IF($AF96=1, RIGHT(AF$3,4)&amp;", ", "")</f>
        <v xml:space="preserve">2010, </v>
      </c>
      <c r="AH96" t="s">
        <v>322</v>
      </c>
    </row>
    <row r="97" spans="1:90">
      <c r="A97" s="5">
        <f t="shared" si="1"/>
        <v>94</v>
      </c>
      <c r="B97" s="6" t="s">
        <v>123</v>
      </c>
      <c r="C97" s="7" t="s">
        <v>323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33">
        <v>0</v>
      </c>
      <c r="AD97" s="33">
        <v>1</v>
      </c>
      <c r="AE97" s="33">
        <v>0</v>
      </c>
      <c r="AF97" s="33"/>
      <c r="AG97" t="str">
        <f>+IF($D97=1,RIGHT(D$3,4)&amp;", ","")&amp;IF($E97=1,RIGHT(E$3,4)&amp;", ","")&amp;IF($F97=1,RIGHT(F$3,4)&amp;", ","")&amp;IF($G97=1,RIGHT(G$3,4)&amp;", ","")&amp;IF($H97=1,RIGHT(H$3,4)&amp;", ","")&amp;IF($I97=1,RIGHT(I$3,4)&amp;", ","")&amp;IF($J97=1,RIGHT(J$3,4)&amp;", ","")&amp;IF($K97=1,RIGHT(K$3,4)&amp;", ","")&amp;IF($L97=1,RIGHT(L$3,4)&amp;", ","")&amp;IF($M97=1,RIGHT(M$3,4)&amp;", ","")&amp;IF($N97=1,RIGHT(N$3,4)&amp;", ","")&amp;IF($O97=1,RIGHT(O$3,4)&amp;", ","")&amp;IF($P97=1,RIGHT(P$3,4)&amp;", ","")&amp;IF($Q97=1,RIGHT(Q$3,4)&amp;", ","")&amp;IF($R97=1,RIGHT(R$3,4)&amp;", ","")&amp;IF($S97=1,RIGHT(S$3,4)&amp;", ","")&amp;IF($T97=1,RIGHT(T$3,4)&amp;", ","")&amp;IF($U97=1,RIGHT(U$3,4)&amp;", ","")&amp;IF($V97=1,RIGHT(V$3,4)&amp;", ","")&amp;IF($W97=1,RIGHT(W$3,4)&amp;", ","")&amp;IF($X97=1,RIGHT(X$3,4)&amp;", ","")&amp;IF($Y97=1,RIGHT(Y$3,4)&amp;", ","")&amp;IF($Z97=1, RIGHT(Z$3,4)&amp;", ", "")&amp;IF($AA97=1, RIGHT(AA$3,4)&amp;", ", "")&amp;IF($AB97=1, RIGHT(AB$3,4)&amp;", ", "")&amp;IF($AC97=1, RIGHT(AC$3,4)&amp;", ", "")&amp;IF($AD97=1, RIGHT(AD$3,4)&amp;", ", "")&amp;IF($AE97=1, RIGHT(AE$3,4)&amp;", ", "")&amp;IF($AF97=1, RIGHT(AF$3,4)&amp;", ", "")</f>
        <v xml:space="preserve">2022, </v>
      </c>
    </row>
    <row r="98" spans="1:90">
      <c r="A98" s="5">
        <f t="shared" si="1"/>
        <v>95</v>
      </c>
      <c r="B98" s="6" t="s">
        <v>124</v>
      </c>
      <c r="C98" s="7" t="s">
        <v>324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33"/>
      <c r="AD98" s="33"/>
      <c r="AE98" s="33"/>
      <c r="AF98" s="33"/>
      <c r="AG98" t="str">
        <f>+IF($D98=1,RIGHT(D$3,4)&amp;", ","")&amp;IF($E98=1,RIGHT(E$3,4)&amp;", ","")&amp;IF($F98=1,RIGHT(F$3,4)&amp;", ","")&amp;IF($G98=1,RIGHT(G$3,4)&amp;", ","")&amp;IF($H98=1,RIGHT(H$3,4)&amp;", ","")&amp;IF($I98=1,RIGHT(I$3,4)&amp;", ","")&amp;IF($J98=1,RIGHT(J$3,4)&amp;", ","")&amp;IF($K98=1,RIGHT(K$3,4)&amp;", ","")&amp;IF($L98=1,RIGHT(L$3,4)&amp;", ","")&amp;IF($M98=1,RIGHT(M$3,4)&amp;", ","")&amp;IF($N98=1,RIGHT(N$3,4)&amp;", ","")&amp;IF($O98=1,RIGHT(O$3,4)&amp;", ","")&amp;IF($P98=1,RIGHT(P$3,4)&amp;", ","")&amp;IF($Q98=1,RIGHT(Q$3,4)&amp;", ","")&amp;IF($R98=1,RIGHT(R$3,4)&amp;", ","")&amp;IF($S98=1,RIGHT(S$3,4)&amp;", ","")&amp;IF($T98=1,RIGHT(T$3,4)&amp;", ","")&amp;IF($U98=1,RIGHT(U$3,4)&amp;", ","")&amp;IF($V98=1,RIGHT(V$3,4)&amp;", ","")&amp;IF($W98=1,RIGHT(W$3,4)&amp;", ","")&amp;IF($X98=1,RIGHT(X$3,4)&amp;", ","")&amp;IF($Y98=1,RIGHT(Y$3,4)&amp;", ","")&amp;IF($Z98=1, RIGHT(Z$3,4)&amp;", ", "")&amp;IF($AA98=1, RIGHT(AA$3,4)&amp;", ", "")&amp;IF($AB98=1, RIGHT(AB$3,4)&amp;", ", "")&amp;IF($AC98=1, RIGHT(AC$3,4)&amp;", ", "")&amp;IF($AD98=1, RIGHT(AD$3,4)&amp;", ", "")&amp;IF($AE98=1, RIGHT(AE$3,4)&amp;", ", "")&amp;IF($AF98=1, RIGHT(AF$3,4)&amp;", ", "")</f>
        <v/>
      </c>
    </row>
    <row r="99" spans="1:90">
      <c r="A99" s="5">
        <f t="shared" si="1"/>
        <v>96</v>
      </c>
      <c r="B99" s="6" t="s">
        <v>125</v>
      </c>
      <c r="C99" s="7" t="s">
        <v>325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22">
        <v>1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33"/>
      <c r="AD99" s="33"/>
      <c r="AE99" s="33"/>
      <c r="AF99" s="33"/>
      <c r="AG99" t="s">
        <v>227</v>
      </c>
    </row>
    <row r="100" spans="1:90">
      <c r="A100" s="5">
        <f t="shared" si="1"/>
        <v>97</v>
      </c>
      <c r="B100" s="6" t="s">
        <v>126</v>
      </c>
      <c r="C100" s="7" t="s">
        <v>326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33"/>
      <c r="AD100" s="33"/>
      <c r="AE100" s="33"/>
      <c r="AF100" s="33"/>
      <c r="AG100" t="str">
        <f>+IF($D100=1,RIGHT(D$3,4)&amp;", ","")&amp;IF($E100=1,RIGHT(E$3,4)&amp;", ","")&amp;IF($F100=1,RIGHT(F$3,4)&amp;", ","")&amp;IF($G100=1,RIGHT(G$3,4)&amp;", ","")&amp;IF($H100=1,RIGHT(H$3,4)&amp;", ","")&amp;IF($I100=1,RIGHT(I$3,4)&amp;", ","")&amp;IF($J100=1,RIGHT(J$3,4)&amp;", ","")&amp;IF($K100=1,RIGHT(K$3,4)&amp;", ","")&amp;IF($L100=1,RIGHT(L$3,4)&amp;", ","")&amp;IF($M100=1,RIGHT(M$3,4)&amp;", ","")&amp;IF($N100=1,RIGHT(N$3,4)&amp;", ","")&amp;IF($O100=1,RIGHT(O$3,4)&amp;", ","")&amp;IF($P100=1,RIGHT(P$3,4)&amp;", ","")&amp;IF($Q100=1,RIGHT(Q$3,4)&amp;", ","")&amp;IF($R100=1,RIGHT(R$3,4)&amp;", ","")&amp;IF($S100=1,RIGHT(S$3,4)&amp;", ","")&amp;IF($T100=1,RIGHT(T$3,4)&amp;", ","")&amp;IF($U100=1,RIGHT(U$3,4)&amp;", ","")&amp;IF($V100=1,RIGHT(V$3,4)&amp;", ","")&amp;IF($W100=1,RIGHT(W$3,4)&amp;", ","")&amp;IF($X100=1,RIGHT(X$3,4)&amp;", ","")&amp;IF($Y100=1,RIGHT(Y$3,4)&amp;", ","")&amp;IF($Z100=1, RIGHT(Z$3,4)&amp;", ", "")&amp;IF($AA100=1, RIGHT(AA$3,4)&amp;", ", "")&amp;IF($AB100=1, RIGHT(AB$3,4)&amp;", ", "")&amp;IF($AC100=1, RIGHT(AC$3,4)&amp;", ", "")&amp;IF($AD100=1, RIGHT(AD$3,4)&amp;", ", "")&amp;IF($AE100=1, RIGHT(AE$3,4)&amp;", ", "")&amp;IF($AF100=1, RIGHT(AF$3,4)&amp;", ", "")</f>
        <v/>
      </c>
    </row>
    <row r="101" spans="1:90">
      <c r="A101" s="5">
        <f t="shared" si="1"/>
        <v>98</v>
      </c>
      <c r="B101" s="6" t="s">
        <v>127</v>
      </c>
      <c r="C101" s="7" t="s">
        <v>327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22">
        <v>1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33"/>
      <c r="AD101" s="33"/>
      <c r="AE101" s="33"/>
      <c r="AF101" s="33"/>
      <c r="AG101" t="s">
        <v>227</v>
      </c>
    </row>
    <row r="102" spans="1:90">
      <c r="A102" s="5">
        <f t="shared" si="1"/>
        <v>99</v>
      </c>
      <c r="B102" s="9" t="s">
        <v>128</v>
      </c>
      <c r="C102" s="10" t="s">
        <v>328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33"/>
      <c r="AD102" s="33"/>
      <c r="AE102" s="33"/>
      <c r="AF102" s="33"/>
      <c r="AG102" t="str">
        <f>+IF($D102=1,RIGHT(D$3,4)&amp;", ","")&amp;IF($E102=1,RIGHT(E$3,4)&amp;", ","")&amp;IF($F102=1,RIGHT(F$3,4)&amp;", ","")&amp;IF($G102=1,RIGHT(G$3,4)&amp;", ","")&amp;IF($H102=1,RIGHT(H$3,4)&amp;", ","")&amp;IF($I102=1,RIGHT(I$3,4)&amp;", ","")&amp;IF($J102=1,RIGHT(J$3,4)&amp;", ","")&amp;IF($K102=1,RIGHT(K$3,4)&amp;", ","")&amp;IF($L102=1,RIGHT(L$3,4)&amp;", ","")&amp;IF($M102=1,RIGHT(M$3,4)&amp;", ","")&amp;IF($N102=1,RIGHT(N$3,4)&amp;", ","")&amp;IF($O102=1,RIGHT(O$3,4)&amp;", ","")&amp;IF($P102=1,RIGHT(P$3,4)&amp;", ","")&amp;IF($Q102=1,RIGHT(Q$3,4)&amp;", ","")&amp;IF($R102=1,RIGHT(R$3,4)&amp;", ","")&amp;IF($S102=1,RIGHT(S$3,4)&amp;", ","")&amp;IF($T102=1,RIGHT(T$3,4)&amp;", ","")&amp;IF($U102=1,RIGHT(U$3,4)&amp;", ","")&amp;IF($V102=1,RIGHT(V$3,4)&amp;", ","")&amp;IF($W102=1,RIGHT(W$3,4)&amp;", ","")&amp;IF($X102=1,RIGHT(X$3,4)&amp;", ","")&amp;IF($Y102=1,RIGHT(Y$3,4)&amp;", ","")&amp;IF($Z102=1, RIGHT(Z$3,4)&amp;", ", "")&amp;IF($AA102=1, RIGHT(AA$3,4)&amp;", ", "")&amp;IF($AB102=1, RIGHT(AB$3,4)&amp;", ", "")&amp;IF($AC102=1, RIGHT(AC$3,4)&amp;", ", "")&amp;IF($AD102=1, RIGHT(AD$3,4)&amp;", ", "")&amp;IF($AE102=1, RIGHT(AE$3,4)&amp;", ", "")&amp;IF($AF102=1, RIGHT(AF$3,4)&amp;", ", "")</f>
        <v/>
      </c>
    </row>
    <row r="103" spans="1:90">
      <c r="A103" s="5">
        <f t="shared" si="1"/>
        <v>100</v>
      </c>
      <c r="B103" s="6" t="s">
        <v>129</v>
      </c>
      <c r="C103" s="7" t="s">
        <v>329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22">
        <v>1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33"/>
      <c r="AD103" s="33"/>
      <c r="AE103" s="33"/>
      <c r="AF103" s="33"/>
      <c r="AG103" t="s">
        <v>227</v>
      </c>
    </row>
    <row r="104" spans="1:90">
      <c r="A104" s="5">
        <f t="shared" si="1"/>
        <v>101</v>
      </c>
      <c r="B104" s="6" t="s">
        <v>130</v>
      </c>
      <c r="C104" s="7" t="s">
        <v>330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22">
        <v>1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33"/>
      <c r="AD104" s="33"/>
      <c r="AE104" s="33"/>
      <c r="AF104" s="33"/>
      <c r="AG104" t="s">
        <v>227</v>
      </c>
    </row>
    <row r="105" spans="1:90">
      <c r="A105" s="5">
        <f t="shared" si="1"/>
        <v>102</v>
      </c>
      <c r="B105" s="6" t="s">
        <v>131</v>
      </c>
      <c r="C105" s="7" t="s">
        <v>331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22">
        <v>1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22">
        <v>1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22">
        <v>1</v>
      </c>
      <c r="AA105" s="8">
        <v>0</v>
      </c>
      <c r="AB105" s="8">
        <v>0</v>
      </c>
      <c r="AC105" s="33"/>
      <c r="AD105" s="33"/>
      <c r="AE105" s="33"/>
      <c r="AF105" s="33"/>
      <c r="AG105" t="str">
        <f>+IF($D105=1,RIGHT(D$3,4)&amp;", ","")&amp;IF($E105=1,RIGHT(E$3,4)&amp;", ","")&amp;IF($F105=1,RIGHT(F$3,4)&amp;", ","")&amp;IF($G105=1,RIGHT(G$3,4)&amp;", ","")&amp;IF($H105=1,RIGHT(H$3,4)&amp;", ","")&amp;IF($I105=1,RIGHT(I$3,4)&amp;", ","")&amp;IF($J105=1,RIGHT(J$3,4)&amp;", ","")&amp;IF($K105=1,RIGHT(K$3,4)&amp;", ","")&amp;IF($L105=1,RIGHT(L$3,4)&amp;", ","")&amp;IF($M105=1,RIGHT(M$3,4)&amp;", ","")&amp;IF($N105=1,RIGHT(N$3,4)&amp;", ","")&amp;IF($O105=1,RIGHT(O$3,4)&amp;", ","")&amp;IF($P105=1,RIGHT(P$3,4)&amp;", ","")&amp;IF($Q105=1,RIGHT(Q$3,4)&amp;", ","")&amp;IF($R105=1,RIGHT(R$3,4)&amp;", ","")&amp;IF($S105=1,RIGHT(S$3,4)&amp;", ","")&amp;IF($T105=1,RIGHT(T$3,4)&amp;", ","")&amp;IF($U105=1,RIGHT(U$3,4)&amp;", ","")&amp;IF($V105=1,RIGHT(V$3,4)&amp;", ","")&amp;IF($W105=1,RIGHT(W$3,4)&amp;", ","")&amp;IF($X105=1,RIGHT(X$3,4)&amp;", ","")&amp;IF($Y105=1,RIGHT(Y$3,4)&amp;", ","")&amp;IF($Z105=1, RIGHT(Z$3,4)&amp;", ", "")&amp;IF($AA105=1, RIGHT(AA$3,4)&amp;", ", "")&amp;IF($AB105=1, RIGHT(AB$3,4)&amp;", ", "")&amp;IF($AC105=1, RIGHT(AC$3,4)&amp;", ", "")&amp;IF($AD105=1, RIGHT(AD$3,4)&amp;", ", "")&amp;IF($AE105=1, RIGHT(AE$3,4)&amp;", ", "")&amp;IF($AF105=1, RIGHT(AF$3,4)&amp;", ", "")</f>
        <v xml:space="preserve">2006, 2012, 2018, </v>
      </c>
    </row>
    <row r="106" spans="1:90">
      <c r="A106" s="5">
        <f t="shared" si="1"/>
        <v>103</v>
      </c>
      <c r="B106" s="6" t="s">
        <v>132</v>
      </c>
      <c r="C106" s="7" t="s">
        <v>332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33"/>
      <c r="AD106" s="33"/>
      <c r="AE106" s="33"/>
      <c r="AF106" s="33"/>
      <c r="AG106" t="s">
        <v>227</v>
      </c>
    </row>
    <row r="107" spans="1:90">
      <c r="A107" s="5">
        <f t="shared" si="1"/>
        <v>104</v>
      </c>
      <c r="B107" s="9" t="s">
        <v>133</v>
      </c>
      <c r="C107" s="10" t="s">
        <v>333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33"/>
      <c r="AD107" s="33"/>
      <c r="AE107" s="33"/>
      <c r="AF107" s="33"/>
      <c r="AG107" t="s">
        <v>227</v>
      </c>
    </row>
    <row r="108" spans="1:90" s="17" customFormat="1">
      <c r="A108" s="5">
        <f t="shared" si="1"/>
        <v>105</v>
      </c>
      <c r="B108" s="6" t="s">
        <v>134</v>
      </c>
      <c r="C108" s="7" t="s">
        <v>334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33"/>
      <c r="AD108" s="33"/>
      <c r="AE108" s="33"/>
      <c r="AF108" s="33"/>
      <c r="AG108" t="s">
        <v>227</v>
      </c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</row>
    <row r="109" spans="1:90">
      <c r="A109" s="5">
        <f t="shared" si="1"/>
        <v>106</v>
      </c>
      <c r="B109" s="6" t="s">
        <v>135</v>
      </c>
      <c r="C109" s="7" t="s">
        <v>335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21">
        <v>1</v>
      </c>
      <c r="T109" s="8">
        <v>0</v>
      </c>
      <c r="U109" s="8">
        <v>0</v>
      </c>
      <c r="V109" s="21">
        <v>1</v>
      </c>
      <c r="W109" s="8">
        <v>0</v>
      </c>
      <c r="X109" s="8">
        <v>0</v>
      </c>
      <c r="Y109" s="22">
        <v>1</v>
      </c>
      <c r="Z109" s="8">
        <v>0</v>
      </c>
      <c r="AA109" s="8">
        <v>0</v>
      </c>
      <c r="AB109" s="8">
        <v>0</v>
      </c>
      <c r="AC109" s="33"/>
      <c r="AD109" s="33"/>
      <c r="AE109" s="33"/>
      <c r="AF109" s="33"/>
      <c r="AG109" t="s">
        <v>227</v>
      </c>
    </row>
    <row r="110" spans="1:90">
      <c r="A110" s="5">
        <f t="shared" si="1"/>
        <v>107</v>
      </c>
      <c r="B110" s="6" t="s">
        <v>136</v>
      </c>
      <c r="C110" s="7" t="s">
        <v>336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33"/>
      <c r="AD110" s="33"/>
      <c r="AE110" s="33"/>
      <c r="AF110" s="33"/>
      <c r="AG110" t="str">
        <f>+IF($D110=1,RIGHT(D$3,4)&amp;", ","")&amp;IF($E110=1,RIGHT(E$3,4)&amp;", ","")&amp;IF($F110=1,RIGHT(F$3,4)&amp;", ","")&amp;IF($G110=1,RIGHT(G$3,4)&amp;", ","")&amp;IF($H110=1,RIGHT(H$3,4)&amp;", ","")&amp;IF($I110=1,RIGHT(I$3,4)&amp;", ","")&amp;IF($J110=1,RIGHT(J$3,4)&amp;", ","")&amp;IF($K110=1,RIGHT(K$3,4)&amp;", ","")&amp;IF($L110=1,RIGHT(L$3,4)&amp;", ","")&amp;IF($M110=1,RIGHT(M$3,4)&amp;", ","")&amp;IF($N110=1,RIGHT(N$3,4)&amp;", ","")&amp;IF($O110=1,RIGHT(O$3,4)&amp;", ","")&amp;IF($P110=1,RIGHT(P$3,4)&amp;", ","")&amp;IF($Q110=1,RIGHT(Q$3,4)&amp;", ","")&amp;IF($R110=1,RIGHT(R$3,4)&amp;", ","")&amp;IF($S110=1,RIGHT(S$3,4)&amp;", ","")&amp;IF($T110=1,RIGHT(T$3,4)&amp;", ","")&amp;IF($U110=1,RIGHT(U$3,4)&amp;", ","")&amp;IF($V110=1,RIGHT(V$3,4)&amp;", ","")&amp;IF($W110=1,RIGHT(W$3,4)&amp;", ","")&amp;IF($X110=1,RIGHT(X$3,4)&amp;", ","")&amp;IF($Y110=1,RIGHT(Y$3,4)&amp;", ","")&amp;IF($Z110=1, RIGHT(Z$3,4)&amp;", ", "")&amp;IF($AA110=1, RIGHT(AA$3,4)&amp;", ", "")&amp;IF($AB110=1, RIGHT(AB$3,4)&amp;", ", "")&amp;IF($AC110=1, RIGHT(AC$3,4)&amp;", ", "")&amp;IF($AD110=1, RIGHT(AD$3,4)&amp;", ", "")&amp;IF($AE110=1, RIGHT(AE$3,4)&amp;", ", "")&amp;IF($AF110=1, RIGHT(AF$3,4)&amp;", ", "")</f>
        <v/>
      </c>
    </row>
    <row r="111" spans="1:90">
      <c r="A111" s="5">
        <f t="shared" si="1"/>
        <v>108</v>
      </c>
      <c r="B111" s="6" t="s">
        <v>137</v>
      </c>
      <c r="C111" s="12" t="s">
        <v>337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33"/>
      <c r="AD111" s="33"/>
      <c r="AE111" s="33"/>
      <c r="AF111" s="33"/>
      <c r="AG111" t="str">
        <f>+IF($D111=1,RIGHT(D$3,4)&amp;", ","")&amp;IF($E111=1,RIGHT(E$3,4)&amp;", ","")&amp;IF($F111=1,RIGHT(F$3,4)&amp;", ","")&amp;IF($G111=1,RIGHT(G$3,4)&amp;", ","")&amp;IF($H111=1,RIGHT(H$3,4)&amp;", ","")&amp;IF($I111=1,RIGHT(I$3,4)&amp;", ","")&amp;IF($J111=1,RIGHT(J$3,4)&amp;", ","")&amp;IF($K111=1,RIGHT(K$3,4)&amp;", ","")&amp;IF($L111=1,RIGHT(L$3,4)&amp;", ","")&amp;IF($M111=1,RIGHT(M$3,4)&amp;", ","")&amp;IF($N111=1,RIGHT(N$3,4)&amp;", ","")&amp;IF($O111=1,RIGHT(O$3,4)&amp;", ","")&amp;IF($P111=1,RIGHT(P$3,4)&amp;", ","")&amp;IF($Q111=1,RIGHT(Q$3,4)&amp;", ","")&amp;IF($R111=1,RIGHT(R$3,4)&amp;", ","")&amp;IF($S111=1,RIGHT(S$3,4)&amp;", ","")&amp;IF($T111=1,RIGHT(T$3,4)&amp;", ","")&amp;IF($U111=1,RIGHT(U$3,4)&amp;", ","")&amp;IF($V111=1,RIGHT(V$3,4)&amp;", ","")&amp;IF($W111=1,RIGHT(W$3,4)&amp;", ","")&amp;IF($X111=1,RIGHT(X$3,4)&amp;", ","")&amp;IF($Y111=1,RIGHT(Y$3,4)&amp;", ","")&amp;IF($Z111=1, RIGHT(Z$3,4)&amp;", ", "")&amp;IF($AA111=1, RIGHT(AA$3,4)&amp;", ", "")&amp;IF($AB111=1, RIGHT(AB$3,4)&amp;", ", "")&amp;IF($AC111=1, RIGHT(AC$3,4)&amp;", ", "")&amp;IF($AD111=1, RIGHT(AD$3,4)&amp;", ", "")&amp;IF($AE111=1, RIGHT(AE$3,4)&amp;", ", "")&amp;IF($AF111=1, RIGHT(AF$3,4)&amp;", ", "")</f>
        <v/>
      </c>
    </row>
    <row r="112" spans="1:90">
      <c r="A112" s="5">
        <f t="shared" si="1"/>
        <v>109</v>
      </c>
      <c r="B112" s="6" t="s">
        <v>138</v>
      </c>
      <c r="C112" s="7" t="s">
        <v>338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22">
        <v>1</v>
      </c>
      <c r="Y112" s="8">
        <v>0</v>
      </c>
      <c r="Z112" s="8">
        <v>0</v>
      </c>
      <c r="AA112" s="8">
        <v>0</v>
      </c>
      <c r="AB112" s="8">
        <v>0</v>
      </c>
      <c r="AC112" s="33"/>
      <c r="AD112" s="33"/>
      <c r="AE112" s="33"/>
      <c r="AF112" s="33"/>
      <c r="AG112" t="str">
        <f>+IF($D112=1,RIGHT(D$3,4)&amp;", ","")&amp;IF($E112=1,RIGHT(E$3,4)&amp;", ","")&amp;IF($F112=1,RIGHT(F$3,4)&amp;", ","")&amp;IF($G112=1,RIGHT(G$3,4)&amp;", ","")&amp;IF($H112=1,RIGHT(H$3,4)&amp;", ","")&amp;IF($I112=1,RIGHT(I$3,4)&amp;", ","")&amp;IF($J112=1,RIGHT(J$3,4)&amp;", ","")&amp;IF($K112=1,RIGHT(K$3,4)&amp;", ","")&amp;IF($L112=1,RIGHT(L$3,4)&amp;", ","")&amp;IF($M112=1,RIGHT(M$3,4)&amp;", ","")&amp;IF($N112=1,RIGHT(N$3,4)&amp;", ","")&amp;IF($O112=1,RIGHT(O$3,4)&amp;", ","")&amp;IF($P112=1,RIGHT(P$3,4)&amp;", ","")&amp;IF($Q112=1,RIGHT(Q$3,4)&amp;", ","")&amp;IF($R112=1,RIGHT(R$3,4)&amp;", ","")&amp;IF($S112=1,RIGHT(S$3,4)&amp;", ","")&amp;IF($T112=1,RIGHT(T$3,4)&amp;", ","")&amp;IF($U112=1,RIGHT(U$3,4)&amp;", ","")&amp;IF($V112=1,RIGHT(V$3,4)&amp;", ","")&amp;IF($W112=1,RIGHT(W$3,4)&amp;", ","")&amp;IF($X112=1,RIGHT(X$3,4)&amp;", ","")&amp;IF($Y112=1,RIGHT(Y$3,4)&amp;", ","")&amp;IF($Z112=1, RIGHT(Z$3,4)&amp;", ", "")&amp;IF($AA112=1, RIGHT(AA$3,4)&amp;", ", "")&amp;IF($AB112=1, RIGHT(AB$3,4)&amp;", ", "")&amp;IF($AC112=1, RIGHT(AC$3,4)&amp;", ", "")&amp;IF($AD112=1, RIGHT(AD$3,4)&amp;", ", "")&amp;IF($AE112=1, RIGHT(AE$3,4)&amp;", ", "")&amp;IF($AF112=1, RIGHT(AF$3,4)&amp;", ", "")</f>
        <v xml:space="preserve">2016, </v>
      </c>
    </row>
    <row r="113" spans="1:34">
      <c r="A113" s="5">
        <f t="shared" si="1"/>
        <v>110</v>
      </c>
      <c r="B113" s="9" t="s">
        <v>139</v>
      </c>
      <c r="C113" s="10" t="s">
        <v>339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33"/>
      <c r="AD113" s="33"/>
      <c r="AE113" s="33"/>
      <c r="AF113" s="33"/>
      <c r="AG113" t="s">
        <v>227</v>
      </c>
    </row>
    <row r="114" spans="1:34">
      <c r="A114" s="5">
        <f t="shared" si="1"/>
        <v>111</v>
      </c>
      <c r="B114" s="6" t="s">
        <v>140</v>
      </c>
      <c r="C114" s="7" t="s">
        <v>340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33"/>
      <c r="AD114" s="33"/>
      <c r="AE114" s="33"/>
      <c r="AF114" s="33"/>
      <c r="AG114" t="str">
        <f>+IF($D114=1,RIGHT(D$3,4)&amp;", ","")&amp;IF($E114=1,RIGHT(E$3,4)&amp;", ","")&amp;IF($F114=1,RIGHT(F$3,4)&amp;", ","")&amp;IF($G114=1,RIGHT(G$3,4)&amp;", ","")&amp;IF($H114=1,RIGHT(H$3,4)&amp;", ","")&amp;IF($I114=1,RIGHT(I$3,4)&amp;", ","")&amp;IF($J114=1,RIGHT(J$3,4)&amp;", ","")&amp;IF($K114=1,RIGHT(K$3,4)&amp;", ","")&amp;IF($L114=1,RIGHT(L$3,4)&amp;", ","")&amp;IF($M114=1,RIGHT(M$3,4)&amp;", ","")&amp;IF($N114=1,RIGHT(N$3,4)&amp;", ","")&amp;IF($O114=1,RIGHT(O$3,4)&amp;", ","")&amp;IF($P114=1,RIGHT(P$3,4)&amp;", ","")&amp;IF($Q114=1,RIGHT(Q$3,4)&amp;", ","")&amp;IF($R114=1,RIGHT(R$3,4)&amp;", ","")&amp;IF($S114=1,RIGHT(S$3,4)&amp;", ","")&amp;IF($T114=1,RIGHT(T$3,4)&amp;", ","")&amp;IF($U114=1,RIGHT(U$3,4)&amp;", ","")&amp;IF($V114=1,RIGHT(V$3,4)&amp;", ","")&amp;IF($W114=1,RIGHT(W$3,4)&amp;", ","")&amp;IF($X114=1,RIGHT(X$3,4)&amp;", ","")&amp;IF($Y114=1,RIGHT(Y$3,4)&amp;", ","")&amp;IF($Z114=1, RIGHT(Z$3,4)&amp;", ", "")&amp;IF($AA114=1, RIGHT(AA$3,4)&amp;", ", "")&amp;IF($AB114=1, RIGHT(AB$3,4)&amp;", ", "")&amp;IF($AC114=1, RIGHT(AC$3,4)&amp;", ", "")&amp;IF($AD114=1, RIGHT(AD$3,4)&amp;", ", "")&amp;IF($AE114=1, RIGHT(AE$3,4)&amp;", ", "")&amp;IF($AF114=1, RIGHT(AF$3,4)&amp;", ", "")</f>
        <v/>
      </c>
    </row>
    <row r="115" spans="1:34">
      <c r="A115" s="5">
        <f t="shared" si="1"/>
        <v>112</v>
      </c>
      <c r="B115" s="13" t="s">
        <v>141</v>
      </c>
      <c r="C115" s="12" t="s">
        <v>341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33"/>
      <c r="AD115" s="33">
        <v>1</v>
      </c>
      <c r="AE115" s="33"/>
      <c r="AF115" s="33"/>
      <c r="AG115" t="str">
        <f>+IF($D115=1,RIGHT(D$3,4)&amp;", ","")&amp;IF($E115=1,RIGHT(E$3,4)&amp;", ","")&amp;IF($F115=1,RIGHT(F$3,4)&amp;", ","")&amp;IF($G115=1,RIGHT(G$3,4)&amp;", ","")&amp;IF($H115=1,RIGHT(H$3,4)&amp;", ","")&amp;IF($I115=1,RIGHT(I$3,4)&amp;", ","")&amp;IF($J115=1,RIGHT(J$3,4)&amp;", ","")&amp;IF($K115=1,RIGHT(K$3,4)&amp;", ","")&amp;IF($L115=1,RIGHT(L$3,4)&amp;", ","")&amp;IF($M115=1,RIGHT(M$3,4)&amp;", ","")&amp;IF($N115=1,RIGHT(N$3,4)&amp;", ","")&amp;IF($O115=1,RIGHT(O$3,4)&amp;", ","")&amp;IF($P115=1,RIGHT(P$3,4)&amp;", ","")&amp;IF($Q115=1,RIGHT(Q$3,4)&amp;", ","")&amp;IF($R115=1,RIGHT(R$3,4)&amp;", ","")&amp;IF($S115=1,RIGHT(S$3,4)&amp;", ","")&amp;IF($T115=1,RIGHT(T$3,4)&amp;", ","")&amp;IF($U115=1,RIGHT(U$3,4)&amp;", ","")&amp;IF($V115=1,RIGHT(V$3,4)&amp;", ","")&amp;IF($W115=1,RIGHT(W$3,4)&amp;", ","")&amp;IF($X115=1,RIGHT(X$3,4)&amp;", ","")&amp;IF($Y115=1,RIGHT(Y$3,4)&amp;", ","")&amp;IF($Z115=1, RIGHT(Z$3,4)&amp;", ", "")&amp;IF($AA115=1, RIGHT(AA$3,4)&amp;", ", "")&amp;IF($AB115=1, RIGHT(AB$3,4)&amp;", ", "")&amp;IF($AC115=1, RIGHT(AC$3,4)&amp;", ", "")&amp;IF($AD115=1, RIGHT(AD$3,4)&amp;", ", "")&amp;IF($AE115=1, RIGHT(AE$3,4)&amp;", ", "")&amp;IF($AF115=1, RIGHT(AF$3,4)&amp;", ", "")</f>
        <v xml:space="preserve">2022, </v>
      </c>
      <c r="AH115" t="s">
        <v>342</v>
      </c>
    </row>
    <row r="116" spans="1:34">
      <c r="A116" s="5">
        <f t="shared" si="1"/>
        <v>113</v>
      </c>
      <c r="B116" s="11" t="s">
        <v>142</v>
      </c>
      <c r="C116" s="12" t="s">
        <v>343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33"/>
      <c r="AD116" s="33"/>
      <c r="AE116" s="33"/>
      <c r="AF116" s="33"/>
      <c r="AG116" t="str">
        <f>+IF($D116=1,RIGHT(D$3,4)&amp;", ","")&amp;IF($E116=1,RIGHT(E$3,4)&amp;", ","")&amp;IF($F116=1,RIGHT(F$3,4)&amp;", ","")&amp;IF($G116=1,RIGHT(G$3,4)&amp;", ","")&amp;IF($H116=1,RIGHT(H$3,4)&amp;", ","")&amp;IF($I116=1,RIGHT(I$3,4)&amp;", ","")&amp;IF($J116=1,RIGHT(J$3,4)&amp;", ","")&amp;IF($K116=1,RIGHT(K$3,4)&amp;", ","")&amp;IF($L116=1,RIGHT(L$3,4)&amp;", ","")&amp;IF($M116=1,RIGHT(M$3,4)&amp;", ","")&amp;IF($N116=1,RIGHT(N$3,4)&amp;", ","")&amp;IF($O116=1,RIGHT(O$3,4)&amp;", ","")&amp;IF($P116=1,RIGHT(P$3,4)&amp;", ","")&amp;IF($Q116=1,RIGHT(Q$3,4)&amp;", ","")&amp;IF($R116=1,RIGHT(R$3,4)&amp;", ","")&amp;IF($S116=1,RIGHT(S$3,4)&amp;", ","")&amp;IF($T116=1,RIGHT(T$3,4)&amp;", ","")&amp;IF($U116=1,RIGHT(U$3,4)&amp;", ","")&amp;IF($V116=1,RIGHT(V$3,4)&amp;", ","")&amp;IF($W116=1,RIGHT(W$3,4)&amp;", ","")&amp;IF($X116=1,RIGHT(X$3,4)&amp;", ","")&amp;IF($Y116=1,RIGHT(Y$3,4)&amp;", ","")&amp;IF($Z116=1, RIGHT(Z$3,4)&amp;", ", "")&amp;IF($AA116=1, RIGHT(AA$3,4)&amp;", ", "")&amp;IF($AB116=1, RIGHT(AB$3,4)&amp;", ", "")&amp;IF($AC116=1, RIGHT(AC$3,4)&amp;", ", "")&amp;IF($AD116=1, RIGHT(AD$3,4)&amp;", ", "")&amp;IF($AE116=1, RIGHT(AE$3,4)&amp;", ", "")&amp;IF($AF116=1, RIGHT(AF$3,4)&amp;", ", "")</f>
        <v/>
      </c>
    </row>
    <row r="117" spans="1:34">
      <c r="A117" s="5">
        <f t="shared" si="1"/>
        <v>114</v>
      </c>
      <c r="B117" s="6" t="s">
        <v>143</v>
      </c>
      <c r="C117" s="7" t="s">
        <v>344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33"/>
      <c r="AD117" s="33"/>
      <c r="AE117" s="33"/>
      <c r="AF117" s="33"/>
      <c r="AG117" t="str">
        <f>+IF($D117=1,RIGHT(D$3,4)&amp;", ","")&amp;IF($E117=1,RIGHT(E$3,4)&amp;", ","")&amp;IF($F117=1,RIGHT(F$3,4)&amp;", ","")&amp;IF($G117=1,RIGHT(G$3,4)&amp;", ","")&amp;IF($H117=1,RIGHT(H$3,4)&amp;", ","")&amp;IF($I117=1,RIGHT(I$3,4)&amp;", ","")&amp;IF($J117=1,RIGHT(J$3,4)&amp;", ","")&amp;IF($K117=1,RIGHT(K$3,4)&amp;", ","")&amp;IF($L117=1,RIGHT(L$3,4)&amp;", ","")&amp;IF($M117=1,RIGHT(M$3,4)&amp;", ","")&amp;IF($N117=1,RIGHT(N$3,4)&amp;", ","")&amp;IF($O117=1,RIGHT(O$3,4)&amp;", ","")&amp;IF($P117=1,RIGHT(P$3,4)&amp;", ","")&amp;IF($Q117=1,RIGHT(Q$3,4)&amp;", ","")&amp;IF($R117=1,RIGHT(R$3,4)&amp;", ","")&amp;IF($S117=1,RIGHT(S$3,4)&amp;", ","")&amp;IF($T117=1,RIGHT(T$3,4)&amp;", ","")&amp;IF($U117=1,RIGHT(U$3,4)&amp;", ","")&amp;IF($V117=1,RIGHT(V$3,4)&amp;", ","")&amp;IF($W117=1,RIGHT(W$3,4)&amp;", ","")&amp;IF($X117=1,RIGHT(X$3,4)&amp;", ","")&amp;IF($Y117=1,RIGHT(Y$3,4)&amp;", ","")&amp;IF($Z117=1, RIGHT(Z$3,4)&amp;", ", "")&amp;IF($AA117=1, RIGHT(AA$3,4)&amp;", ", "")&amp;IF($AB117=1, RIGHT(AB$3,4)&amp;", ", "")&amp;IF($AC117=1, RIGHT(AC$3,4)&amp;", ", "")&amp;IF($AD117=1, RIGHT(AD$3,4)&amp;", ", "")&amp;IF($AE117=1, RIGHT(AE$3,4)&amp;", ", "")&amp;IF($AF117=1, RIGHT(AF$3,4)&amp;", ", "")</f>
        <v/>
      </c>
    </row>
    <row r="118" spans="1:34">
      <c r="A118" s="5">
        <f t="shared" si="1"/>
        <v>115</v>
      </c>
      <c r="B118" s="6" t="s">
        <v>144</v>
      </c>
      <c r="C118" s="7" t="s">
        <v>345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33"/>
      <c r="AD118" s="33"/>
      <c r="AE118" s="33"/>
      <c r="AF118" s="33"/>
      <c r="AG118" t="s">
        <v>227</v>
      </c>
    </row>
    <row r="119" spans="1:34">
      <c r="A119" s="5">
        <f t="shared" si="1"/>
        <v>116</v>
      </c>
      <c r="B119" s="13" t="s">
        <v>145</v>
      </c>
      <c r="C119" s="12" t="s">
        <v>346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33"/>
      <c r="AD119" s="33"/>
      <c r="AE119" s="33"/>
      <c r="AF119" s="33"/>
      <c r="AG119" t="str">
        <f>+IF($D119=1,RIGHT(D$3,4)&amp;", ","")&amp;IF($E119=1,RIGHT(E$3,4)&amp;", ","")&amp;IF($F119=1,RIGHT(F$3,4)&amp;", ","")&amp;IF($G119=1,RIGHT(G$3,4)&amp;", ","")&amp;IF($H119=1,RIGHT(H$3,4)&amp;", ","")&amp;IF($I119=1,RIGHT(I$3,4)&amp;", ","")&amp;IF($J119=1,RIGHT(J$3,4)&amp;", ","")&amp;IF($K119=1,RIGHT(K$3,4)&amp;", ","")&amp;IF($L119=1,RIGHT(L$3,4)&amp;", ","")&amp;IF($M119=1,RIGHT(M$3,4)&amp;", ","")&amp;IF($N119=1,RIGHT(N$3,4)&amp;", ","")&amp;IF($O119=1,RIGHT(O$3,4)&amp;", ","")&amp;IF($P119=1,RIGHT(P$3,4)&amp;", ","")&amp;IF($Q119=1,RIGHT(Q$3,4)&amp;", ","")&amp;IF($R119=1,RIGHT(R$3,4)&amp;", ","")&amp;IF($S119=1,RIGHT(S$3,4)&amp;", ","")&amp;IF($T119=1,RIGHT(T$3,4)&amp;", ","")&amp;IF($U119=1,RIGHT(U$3,4)&amp;", ","")&amp;IF($V119=1,RIGHT(V$3,4)&amp;", ","")&amp;IF($W119=1,RIGHT(W$3,4)&amp;", ","")&amp;IF($X119=1,RIGHT(X$3,4)&amp;", ","")&amp;IF($Y119=1,RIGHT(Y$3,4)&amp;", ","")&amp;IF($Z119=1, RIGHT(Z$3,4)&amp;", ", "")&amp;IF($AA119=1, RIGHT(AA$3,4)&amp;", ", "")&amp;IF($AB119=1, RIGHT(AB$3,4)&amp;", ", "")&amp;IF($AC119=1, RIGHT(AC$3,4)&amp;", ", "")&amp;IF($AD119=1, RIGHT(AD$3,4)&amp;", ", "")&amp;IF($AE119=1, RIGHT(AE$3,4)&amp;", ", "")&amp;IF($AF119=1, RIGHT(AF$3,4)&amp;", ", "")</f>
        <v/>
      </c>
    </row>
    <row r="120" spans="1:34">
      <c r="A120" s="5">
        <f t="shared" si="1"/>
        <v>117</v>
      </c>
      <c r="B120" s="6" t="s">
        <v>146</v>
      </c>
      <c r="C120" s="7" t="s">
        <v>347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22">
        <v>1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22">
        <v>1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33"/>
      <c r="AD120" s="33"/>
      <c r="AE120" s="33"/>
      <c r="AF120" s="33"/>
      <c r="AG120" t="str">
        <f>+IF($D120=1,RIGHT(D$3,4)&amp;", ","")&amp;IF($E120=1,RIGHT(E$3,4)&amp;", ","")&amp;IF($F120=1,RIGHT(F$3,4)&amp;", ","")&amp;IF($G120=1,RIGHT(G$3,4)&amp;", ","")&amp;IF($H120=1,RIGHT(H$3,4)&amp;", ","")&amp;IF($I120=1,RIGHT(I$3,4)&amp;", ","")&amp;IF($J120=1,RIGHT(J$3,4)&amp;", ","")&amp;IF($K120=1,RIGHT(K$3,4)&amp;", ","")&amp;IF($L120=1,RIGHT(L$3,4)&amp;", ","")&amp;IF($M120=1,RIGHT(M$3,4)&amp;", ","")&amp;IF($N120=1,RIGHT(N$3,4)&amp;", ","")&amp;IF($O120=1,RIGHT(O$3,4)&amp;", ","")&amp;IF($P120=1,RIGHT(P$3,4)&amp;", ","")&amp;IF($Q120=1,RIGHT(Q$3,4)&amp;", ","")&amp;IF($R120=1,RIGHT(R$3,4)&amp;", ","")&amp;IF($S120=1,RIGHT(S$3,4)&amp;", ","")&amp;IF($T120=1,RIGHT(T$3,4)&amp;", ","")&amp;IF($U120=1,RIGHT(U$3,4)&amp;", ","")&amp;IF($V120=1,RIGHT(V$3,4)&amp;", ","")&amp;IF($W120=1,RIGHT(W$3,4)&amp;", ","")&amp;IF($X120=1,RIGHT(X$3,4)&amp;", ","")&amp;IF($Y120=1,RIGHT(Y$3,4)&amp;", ","")&amp;IF($Z120=1, RIGHT(Z$3,4)&amp;", ", "")&amp;IF($AA120=1, RIGHT(AA$3,4)&amp;", ", "")&amp;IF($AB120=1, RIGHT(AB$3,4)&amp;", ", "")&amp;IF($AC120=1, RIGHT(AC$3,4)&amp;", ", "")&amp;IF($AD120=1, RIGHT(AD$3,4)&amp;", ", "")&amp;IF($AE120=1, RIGHT(AE$3,4)&amp;", ", "")&amp;IF($AF120=1, RIGHT(AF$3,4)&amp;", ", "")</f>
        <v xml:space="preserve">2003, 2013, </v>
      </c>
    </row>
    <row r="121" spans="1:34">
      <c r="A121" s="5">
        <f t="shared" si="1"/>
        <v>118</v>
      </c>
      <c r="B121" s="9" t="s">
        <v>147</v>
      </c>
      <c r="C121" s="10" t="s">
        <v>348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33"/>
      <c r="AD121" s="33"/>
      <c r="AE121" s="33"/>
      <c r="AF121" s="33"/>
      <c r="AG121" t="str">
        <f>+IF($D121=1,RIGHT(D$3,4)&amp;", ","")&amp;IF($E121=1,RIGHT(E$3,4)&amp;", ","")&amp;IF($F121=1,RIGHT(F$3,4)&amp;", ","")&amp;IF($G121=1,RIGHT(G$3,4)&amp;", ","")&amp;IF($H121=1,RIGHT(H$3,4)&amp;", ","")&amp;IF($I121=1,RIGHT(I$3,4)&amp;", ","")&amp;IF($J121=1,RIGHT(J$3,4)&amp;", ","")&amp;IF($K121=1,RIGHT(K$3,4)&amp;", ","")&amp;IF($L121=1,RIGHT(L$3,4)&amp;", ","")&amp;IF($M121=1,RIGHT(M$3,4)&amp;", ","")&amp;IF($N121=1,RIGHT(N$3,4)&amp;", ","")&amp;IF($O121=1,RIGHT(O$3,4)&amp;", ","")&amp;IF($P121=1,RIGHT(P$3,4)&amp;", ","")&amp;IF($Q121=1,RIGHT(Q$3,4)&amp;", ","")&amp;IF($R121=1,RIGHT(R$3,4)&amp;", ","")&amp;IF($S121=1,RIGHT(S$3,4)&amp;", ","")&amp;IF($T121=1,RIGHT(T$3,4)&amp;", ","")&amp;IF($U121=1,RIGHT(U$3,4)&amp;", ","")&amp;IF($V121=1,RIGHT(V$3,4)&amp;", ","")&amp;IF($W121=1,RIGHT(W$3,4)&amp;", ","")&amp;IF($X121=1,RIGHT(X$3,4)&amp;", ","")&amp;IF($Y121=1,RIGHT(Y$3,4)&amp;", ","")&amp;IF($Z121=1, RIGHT(Z$3,4)&amp;", ", "")&amp;IF($AA121=1, RIGHT(AA$3,4)&amp;", ", "")&amp;IF($AB121=1, RIGHT(AB$3,4)&amp;", ", "")&amp;IF($AC121=1, RIGHT(AC$3,4)&amp;", ", "")&amp;IF($AD121=1, RIGHT(AD$3,4)&amp;", ", "")&amp;IF($AE121=1, RIGHT(AE$3,4)&amp;", ", "")&amp;IF($AF121=1, RIGHT(AF$3,4)&amp;", ", "")</f>
        <v/>
      </c>
    </row>
    <row r="122" spans="1:34">
      <c r="A122" s="5">
        <f t="shared" si="1"/>
        <v>119</v>
      </c>
      <c r="B122" s="13" t="s">
        <v>148</v>
      </c>
      <c r="C122" s="12" t="s">
        <v>349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33"/>
      <c r="AD122" s="33"/>
      <c r="AE122" s="33"/>
      <c r="AF122" s="33"/>
      <c r="AG122" t="s">
        <v>227</v>
      </c>
    </row>
    <row r="123" spans="1:34">
      <c r="A123" s="5">
        <f t="shared" si="1"/>
        <v>120</v>
      </c>
      <c r="B123" s="8" t="s">
        <v>149</v>
      </c>
      <c r="C123" s="7" t="s">
        <v>350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33"/>
      <c r="AD123" s="33"/>
      <c r="AE123" s="33"/>
      <c r="AF123" s="33"/>
      <c r="AG123" t="str">
        <f>+IF($D123=1,RIGHT(D$3,4)&amp;", ","")&amp;IF($E123=1,RIGHT(E$3,4)&amp;", ","")&amp;IF($F123=1,RIGHT(F$3,4)&amp;", ","")&amp;IF($G123=1,RIGHT(G$3,4)&amp;", ","")&amp;IF($H123=1,RIGHT(H$3,4)&amp;", ","")&amp;IF($I123=1,RIGHT(I$3,4)&amp;", ","")&amp;IF($J123=1,RIGHT(J$3,4)&amp;", ","")&amp;IF($K123=1,RIGHT(K$3,4)&amp;", ","")&amp;IF($L123=1,RIGHT(L$3,4)&amp;", ","")&amp;IF($M123=1,RIGHT(M$3,4)&amp;", ","")&amp;IF($N123=1,RIGHT(N$3,4)&amp;", ","")&amp;IF($O123=1,RIGHT(O$3,4)&amp;", ","")&amp;IF($P123=1,RIGHT(P$3,4)&amp;", ","")&amp;IF($Q123=1,RIGHT(Q$3,4)&amp;", ","")&amp;IF($R123=1,RIGHT(R$3,4)&amp;", ","")&amp;IF($S123=1,RIGHT(S$3,4)&amp;", ","")&amp;IF($T123=1,RIGHT(T$3,4)&amp;", ","")&amp;IF($U123=1,RIGHT(U$3,4)&amp;", ","")&amp;IF($V123=1,RIGHT(V$3,4)&amp;", ","")&amp;IF($W123=1,RIGHT(W$3,4)&amp;", ","")&amp;IF($X123=1,RIGHT(X$3,4)&amp;", ","")&amp;IF($Y123=1,RIGHT(Y$3,4)&amp;", ","")&amp;IF($Z123=1, RIGHT(Z$3,4)&amp;", ", "")&amp;IF($AA123=1, RIGHT(AA$3,4)&amp;", ", "")&amp;IF($AB123=1, RIGHT(AB$3,4)&amp;", ", "")&amp;IF($AC123=1, RIGHT(AC$3,4)&amp;", ", "")&amp;IF($AD123=1, RIGHT(AD$3,4)&amp;", ", "")&amp;IF($AE123=1, RIGHT(AE$3,4)&amp;", ", "")&amp;IF($AF123=1, RIGHT(AF$3,4)&amp;", ", "")</f>
        <v/>
      </c>
    </row>
    <row r="124" spans="1:34">
      <c r="A124" s="5">
        <f t="shared" si="1"/>
        <v>121</v>
      </c>
      <c r="B124" s="6" t="s">
        <v>150</v>
      </c>
      <c r="C124" s="7" t="s">
        <v>351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33"/>
      <c r="AD124" s="33"/>
      <c r="AE124" s="33"/>
      <c r="AF124" s="33"/>
      <c r="AG124" t="str">
        <f>+IF($D124=1,RIGHT(D$3,4)&amp;", ","")&amp;IF($E124=1,RIGHT(E$3,4)&amp;", ","")&amp;IF($F124=1,RIGHT(F$3,4)&amp;", ","")&amp;IF($G124=1,RIGHT(G$3,4)&amp;", ","")&amp;IF($H124=1,RIGHT(H$3,4)&amp;", ","")&amp;IF($I124=1,RIGHT(I$3,4)&amp;", ","")&amp;IF($J124=1,RIGHT(J$3,4)&amp;", ","")&amp;IF($K124=1,RIGHT(K$3,4)&amp;", ","")&amp;IF($L124=1,RIGHT(L$3,4)&amp;", ","")&amp;IF($M124=1,RIGHT(M$3,4)&amp;", ","")&amp;IF($N124=1,RIGHT(N$3,4)&amp;", ","")&amp;IF($O124=1,RIGHT(O$3,4)&amp;", ","")&amp;IF($P124=1,RIGHT(P$3,4)&amp;", ","")&amp;IF($Q124=1,RIGHT(Q$3,4)&amp;", ","")&amp;IF($R124=1,RIGHT(R$3,4)&amp;", ","")&amp;IF($S124=1,RIGHT(S$3,4)&amp;", ","")&amp;IF($T124=1,RIGHT(T$3,4)&amp;", ","")&amp;IF($U124=1,RIGHT(U$3,4)&amp;", ","")&amp;IF($V124=1,RIGHT(V$3,4)&amp;", ","")&amp;IF($W124=1,RIGHT(W$3,4)&amp;", ","")&amp;IF($X124=1,RIGHT(X$3,4)&amp;", ","")&amp;IF($Y124=1,RIGHT(Y$3,4)&amp;", ","")&amp;IF($Z124=1, RIGHT(Z$3,4)&amp;", ", "")&amp;IF($AA124=1, RIGHT(AA$3,4)&amp;", ", "")&amp;IF($AB124=1, RIGHT(AB$3,4)&amp;", ", "")&amp;IF($AC124=1, RIGHT(AC$3,4)&amp;", ", "")&amp;IF($AD124=1, RIGHT(AD$3,4)&amp;", ", "")&amp;IF($AE124=1, RIGHT(AE$3,4)&amp;", ", "")&amp;IF($AF124=1, RIGHT(AF$3,4)&amp;", ", "")</f>
        <v/>
      </c>
    </row>
    <row r="125" spans="1:34">
      <c r="A125" s="5">
        <f t="shared" si="1"/>
        <v>122</v>
      </c>
      <c r="B125" s="6" t="s">
        <v>151</v>
      </c>
      <c r="C125" s="7" t="s">
        <v>352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22">
        <v>1</v>
      </c>
      <c r="Y125" s="8">
        <v>0</v>
      </c>
      <c r="Z125" s="8">
        <v>0</v>
      </c>
      <c r="AA125" s="8">
        <v>0</v>
      </c>
      <c r="AB125" s="8">
        <v>0</v>
      </c>
      <c r="AC125" s="33"/>
      <c r="AD125" s="33"/>
      <c r="AE125" s="33"/>
      <c r="AF125" s="33"/>
      <c r="AG125" t="s">
        <v>227</v>
      </c>
    </row>
    <row r="126" spans="1:34">
      <c r="A126" s="5">
        <f t="shared" si="1"/>
        <v>123</v>
      </c>
      <c r="B126" s="13" t="s">
        <v>152</v>
      </c>
      <c r="C126" s="7" t="s">
        <v>353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33"/>
      <c r="AD126" s="33"/>
      <c r="AE126" s="33"/>
      <c r="AF126" s="33"/>
      <c r="AG126" t="str">
        <f>+IF($D126=1,RIGHT(D$3,4)&amp;", ","")&amp;IF($E126=1,RIGHT(E$3,4)&amp;", ","")&amp;IF($F126=1,RIGHT(F$3,4)&amp;", ","")&amp;IF($G126=1,RIGHT(G$3,4)&amp;", ","")&amp;IF($H126=1,RIGHT(H$3,4)&amp;", ","")&amp;IF($I126=1,RIGHT(I$3,4)&amp;", ","")&amp;IF($J126=1,RIGHT(J$3,4)&amp;", ","")&amp;IF($K126=1,RIGHT(K$3,4)&amp;", ","")&amp;IF($L126=1,RIGHT(L$3,4)&amp;", ","")&amp;IF($M126=1,RIGHT(M$3,4)&amp;", ","")&amp;IF($N126=1,RIGHT(N$3,4)&amp;", ","")&amp;IF($O126=1,RIGHT(O$3,4)&amp;", ","")&amp;IF($P126=1,RIGHT(P$3,4)&amp;", ","")&amp;IF($Q126=1,RIGHT(Q$3,4)&amp;", ","")&amp;IF($R126=1,RIGHT(R$3,4)&amp;", ","")&amp;IF($S126=1,RIGHT(S$3,4)&amp;", ","")&amp;IF($T126=1,RIGHT(T$3,4)&amp;", ","")&amp;IF($U126=1,RIGHT(U$3,4)&amp;", ","")&amp;IF($V126=1,RIGHT(V$3,4)&amp;", ","")&amp;IF($W126=1,RIGHT(W$3,4)&amp;", ","")&amp;IF($X126=1,RIGHT(X$3,4)&amp;", ","")&amp;IF($Y126=1,RIGHT(Y$3,4)&amp;", ","")&amp;IF($Z126=1, RIGHT(Z$3,4)&amp;", ", "")&amp;IF($AA126=1, RIGHT(AA$3,4)&amp;", ", "")&amp;IF($AB126=1, RIGHT(AB$3,4)&amp;", ", "")&amp;IF($AC126=1, RIGHT(AC$3,4)&amp;", ", "")&amp;IF($AD126=1, RIGHT(AD$3,4)&amp;", ", "")&amp;IF($AE126=1, RIGHT(AE$3,4)&amp;", ", "")&amp;IF($AF126=1, RIGHT(AF$3,4)&amp;", ", "")</f>
        <v/>
      </c>
    </row>
    <row r="127" spans="1:34">
      <c r="A127" s="5">
        <f t="shared" si="1"/>
        <v>124</v>
      </c>
      <c r="B127" s="13" t="s">
        <v>153</v>
      </c>
      <c r="C127" s="12" t="s">
        <v>354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33"/>
      <c r="AD127" s="33"/>
      <c r="AE127" s="33"/>
      <c r="AF127" s="33"/>
      <c r="AG127" t="s">
        <v>227</v>
      </c>
    </row>
    <row r="128" spans="1:34">
      <c r="A128" s="5">
        <f t="shared" si="1"/>
        <v>125</v>
      </c>
      <c r="B128" s="13" t="s">
        <v>154</v>
      </c>
      <c r="C128" s="7" t="s">
        <v>355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22">
        <v>1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33"/>
      <c r="AD128" s="33"/>
      <c r="AE128" s="33"/>
      <c r="AF128" s="33"/>
      <c r="AG128" t="s">
        <v>227</v>
      </c>
    </row>
    <row r="129" spans="1:34">
      <c r="A129" s="5">
        <f t="shared" si="1"/>
        <v>126</v>
      </c>
      <c r="B129" s="13" t="s">
        <v>155</v>
      </c>
      <c r="C129" s="7" t="s">
        <v>356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22">
        <v>1</v>
      </c>
      <c r="P129" s="8">
        <v>0</v>
      </c>
      <c r="Q129" s="8">
        <v>0</v>
      </c>
      <c r="R129" s="8">
        <v>0</v>
      </c>
      <c r="S129" s="8">
        <v>0</v>
      </c>
      <c r="T129" s="22">
        <v>1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33"/>
      <c r="AD129" s="33"/>
      <c r="AE129" s="33"/>
      <c r="AF129" s="33"/>
      <c r="AG129" t="str">
        <f>+IF($D129=1,RIGHT(D$3,4)&amp;", ","")&amp;IF($E129=1,RIGHT(E$3,4)&amp;", ","")&amp;IF($F129=1,RIGHT(F$3,4)&amp;", ","")&amp;IF($G129=1,RIGHT(G$3,4)&amp;", ","")&amp;IF($H129=1,RIGHT(H$3,4)&amp;", ","")&amp;IF($I129=1,RIGHT(I$3,4)&amp;", ","")&amp;IF($J129=1,RIGHT(J$3,4)&amp;", ","")&amp;IF($K129=1,RIGHT(K$3,4)&amp;", ","")&amp;IF($L129=1,RIGHT(L$3,4)&amp;", ","")&amp;IF($M129=1,RIGHT(M$3,4)&amp;", ","")&amp;IF($N129=1,RIGHT(N$3,4)&amp;", ","")&amp;IF($O129=1,RIGHT(O$3,4)&amp;", ","")&amp;IF($P129=1,RIGHT(P$3,4)&amp;", ","")&amp;IF($Q129=1,RIGHT(Q$3,4)&amp;", ","")&amp;IF($R129=1,RIGHT(R$3,4)&amp;", ","")&amp;IF($S129=1,RIGHT(S$3,4)&amp;", ","")&amp;IF($T129=1,RIGHT(T$3,4)&amp;", ","")&amp;IF($U129=1,RIGHT(U$3,4)&amp;", ","")&amp;IF($V129=1,RIGHT(V$3,4)&amp;", ","")&amp;IF($W129=1,RIGHT(W$3,4)&amp;", ","")&amp;IF($X129=1,RIGHT(X$3,4)&amp;", ","")&amp;IF($Y129=1,RIGHT(Y$3,4)&amp;", ","")&amp;IF($Z129=1, RIGHT(Z$3,4)&amp;", ", "")&amp;IF($AA129=1, RIGHT(AA$3,4)&amp;", ", "")&amp;IF($AB129=1, RIGHT(AB$3,4)&amp;", ", "")&amp;IF($AC129=1, RIGHT(AC$3,4)&amp;", ", "")&amp;IF($AD129=1, RIGHT(AD$3,4)&amp;", ", "")&amp;IF($AE129=1, RIGHT(AE$3,4)&amp;", ", "")&amp;IF($AF129=1, RIGHT(AF$3,4)&amp;", ", "")</f>
        <v xml:space="preserve">2007, 2012, </v>
      </c>
    </row>
    <row r="130" spans="1:34">
      <c r="A130" s="5">
        <f t="shared" si="1"/>
        <v>127</v>
      </c>
      <c r="B130" s="13" t="s">
        <v>156</v>
      </c>
      <c r="C130" s="12" t="s">
        <v>357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33"/>
      <c r="AD130" s="33"/>
      <c r="AE130" s="33"/>
      <c r="AF130" s="33"/>
      <c r="AG130" t="str">
        <f>+IF($D130=1,RIGHT(D$3,4)&amp;", ","")&amp;IF($E130=1,RIGHT(E$3,4)&amp;", ","")&amp;IF($F130=1,RIGHT(F$3,4)&amp;", ","")&amp;IF($G130=1,RIGHT(G$3,4)&amp;", ","")&amp;IF($H130=1,RIGHT(H$3,4)&amp;", ","")&amp;IF($I130=1,RIGHT(I$3,4)&amp;", ","")&amp;IF($J130=1,RIGHT(J$3,4)&amp;", ","")&amp;IF($K130=1,RIGHT(K$3,4)&amp;", ","")&amp;IF($L130=1,RIGHT(L$3,4)&amp;", ","")&amp;IF($M130=1,RIGHT(M$3,4)&amp;", ","")&amp;IF($N130=1,RIGHT(N$3,4)&amp;", ","")&amp;IF($O130=1,RIGHT(O$3,4)&amp;", ","")&amp;IF($P130=1,RIGHT(P$3,4)&amp;", ","")&amp;IF($Q130=1,RIGHT(Q$3,4)&amp;", ","")&amp;IF($R130=1,RIGHT(R$3,4)&amp;", ","")&amp;IF($S130=1,RIGHT(S$3,4)&amp;", ","")&amp;IF($T130=1,RIGHT(T$3,4)&amp;", ","")&amp;IF($U130=1,RIGHT(U$3,4)&amp;", ","")&amp;IF($V130=1,RIGHT(V$3,4)&amp;", ","")&amp;IF($W130=1,RIGHT(W$3,4)&amp;", ","")&amp;IF($X130=1,RIGHT(X$3,4)&amp;", ","")&amp;IF($Y130=1,RIGHT(Y$3,4)&amp;", ","")&amp;IF($Z130=1, RIGHT(Z$3,4)&amp;", ", "")&amp;IF($AA130=1, RIGHT(AA$3,4)&amp;", ", "")&amp;IF($AB130=1, RIGHT(AB$3,4)&amp;", ", "")&amp;IF($AC130=1, RIGHT(AC$3,4)&amp;", ", "")&amp;IF($AD130=1, RIGHT(AD$3,4)&amp;", ", "")&amp;IF($AE130=1, RIGHT(AE$3,4)&amp;", ", "")&amp;IF($AF130=1, RIGHT(AF$3,4)&amp;", ", "")</f>
        <v/>
      </c>
    </row>
    <row r="131" spans="1:34">
      <c r="A131" s="5">
        <f t="shared" si="1"/>
        <v>128</v>
      </c>
      <c r="B131" s="13" t="s">
        <v>157</v>
      </c>
      <c r="C131" s="7" t="s">
        <v>358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22">
        <v>1</v>
      </c>
      <c r="Z131" s="8">
        <v>0</v>
      </c>
      <c r="AA131" s="8">
        <v>0</v>
      </c>
      <c r="AB131" s="8">
        <v>0</v>
      </c>
      <c r="AC131" s="33"/>
      <c r="AD131" s="33"/>
      <c r="AE131" s="33"/>
      <c r="AF131" s="33"/>
      <c r="AG131" t="str">
        <f>+IF($D131=1,RIGHT(D$3,4)&amp;", ","")&amp;IF($E131=1,RIGHT(E$3,4)&amp;", ","")&amp;IF($F131=1,RIGHT(F$3,4)&amp;", ","")&amp;IF($G131=1,RIGHT(G$3,4)&amp;", ","")&amp;IF($H131=1,RIGHT(H$3,4)&amp;", ","")&amp;IF($I131=1,RIGHT(I$3,4)&amp;", ","")&amp;IF($J131=1,RIGHT(J$3,4)&amp;", ","")&amp;IF($K131=1,RIGHT(K$3,4)&amp;", ","")&amp;IF($L131=1,RIGHT(L$3,4)&amp;", ","")&amp;IF($M131=1,RIGHT(M$3,4)&amp;", ","")&amp;IF($N131=1,RIGHT(N$3,4)&amp;", ","")&amp;IF($O131=1,RIGHT(O$3,4)&amp;", ","")&amp;IF($P131=1,RIGHT(P$3,4)&amp;", ","")&amp;IF($Q131=1,RIGHT(Q$3,4)&amp;", ","")&amp;IF($R131=1,RIGHT(R$3,4)&amp;", ","")&amp;IF($S131=1,RIGHT(S$3,4)&amp;", ","")&amp;IF($T131=1,RIGHT(T$3,4)&amp;", ","")&amp;IF($U131=1,RIGHT(U$3,4)&amp;", ","")&amp;IF($V131=1,RIGHT(V$3,4)&amp;", ","")&amp;IF($W131=1,RIGHT(W$3,4)&amp;", ","")&amp;IF($X131=1,RIGHT(X$3,4)&amp;", ","")&amp;IF($Y131=1,RIGHT(Y$3,4)&amp;", ","")&amp;IF($Z131=1, RIGHT(Z$3,4)&amp;", ", "")&amp;IF($AA131=1, RIGHT(AA$3,4)&amp;", ", "")&amp;IF($AB131=1, RIGHT(AB$3,4)&amp;", ", "")&amp;IF($AC131=1, RIGHT(AC$3,4)&amp;", ", "")&amp;IF($AD131=1, RIGHT(AD$3,4)&amp;", ", "")&amp;IF($AE131=1, RIGHT(AE$3,4)&amp;", ", "")&amp;IF($AF131=1, RIGHT(AF$3,4)&amp;", ", "")</f>
        <v xml:space="preserve">2017, </v>
      </c>
    </row>
    <row r="132" spans="1:34">
      <c r="A132" s="5">
        <f t="shared" si="1"/>
        <v>129</v>
      </c>
      <c r="B132" s="13" t="s">
        <v>158</v>
      </c>
      <c r="C132" s="7" t="s">
        <v>359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33"/>
      <c r="AD132" s="33"/>
      <c r="AE132" s="33"/>
      <c r="AF132" s="33"/>
      <c r="AG132" t="s">
        <v>227</v>
      </c>
    </row>
    <row r="133" spans="1:34">
      <c r="A133" s="5">
        <f t="shared" ref="A133:A193" si="2">1+A132</f>
        <v>130</v>
      </c>
      <c r="B133" s="9" t="s">
        <v>159</v>
      </c>
      <c r="C133" s="10" t="s">
        <v>360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33"/>
      <c r="AD133" s="33"/>
      <c r="AE133" s="33"/>
      <c r="AF133" s="33"/>
      <c r="AG133" t="str">
        <f>+IF($D133=1,RIGHT(D$3,4)&amp;", ","")&amp;IF($E133=1,RIGHT(E$3,4)&amp;",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 RIGHT(Z$3,4)&amp;", ", "")&amp;IF($AA133=1, RIGHT(AA$3,4)&amp;", ", "")&amp;IF($AB133=1, RIGHT(AB$3,4)&amp;", ", "")&amp;IF($AC133=1, RIGHT(AC$3,4)&amp;", ", "")&amp;IF($AD133=1, RIGHT(AD$3,4)&amp;", ", "")&amp;IF($AE133=1, RIGHT(AE$3,4)&amp;", ", "")&amp;IF($AF133=1, RIGHT(AF$3,4)&amp;", ", "")</f>
        <v/>
      </c>
    </row>
    <row r="134" spans="1:34">
      <c r="A134" s="5">
        <f t="shared" si="2"/>
        <v>131</v>
      </c>
      <c r="B134" s="6" t="s">
        <v>160</v>
      </c>
      <c r="C134" s="7" t="s">
        <v>361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33"/>
      <c r="AD134" s="33"/>
      <c r="AE134" s="33"/>
      <c r="AF134" s="33"/>
      <c r="AG134" t="s">
        <v>227</v>
      </c>
    </row>
    <row r="135" spans="1:34">
      <c r="A135" s="5">
        <f t="shared" si="2"/>
        <v>132</v>
      </c>
      <c r="B135" s="6" t="s">
        <v>161</v>
      </c>
      <c r="C135" s="7" t="s">
        <v>362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33"/>
      <c r="AD135" s="33"/>
      <c r="AE135" s="33"/>
      <c r="AF135" s="33"/>
      <c r="AG135" t="s">
        <v>227</v>
      </c>
      <c r="AH135" t="s">
        <v>363</v>
      </c>
    </row>
    <row r="136" spans="1:34">
      <c r="A136" s="5">
        <f t="shared" si="2"/>
        <v>133</v>
      </c>
      <c r="B136" s="13" t="s">
        <v>162</v>
      </c>
      <c r="C136" s="12" t="s">
        <v>364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33"/>
      <c r="AD136" s="33"/>
      <c r="AE136" s="33"/>
      <c r="AF136" s="33"/>
      <c r="AG136" t="str">
        <f>+IF($D136=1,RIGHT(D$3,4)&amp;", ","")&amp;IF($E136=1,RIGHT(E$3,4)&amp;", ","")&amp;IF($F136=1,RIGHT(F$3,4)&amp;", ","")&amp;IF($G136=1,RIGHT(G$3,4)&amp;", ","")&amp;IF($H136=1,RIGHT(H$3,4)&amp;", ","")&amp;IF($I136=1,RIGHT(I$3,4)&amp;", ","")&amp;IF($J136=1,RIGHT(J$3,4)&amp;", ","")&amp;IF($K136=1,RIGHT(K$3,4)&amp;", ","")&amp;IF($L136=1,RIGHT(L$3,4)&amp;", ","")&amp;IF($M136=1,RIGHT(M$3,4)&amp;", ","")&amp;IF($N136=1,RIGHT(N$3,4)&amp;", ","")&amp;IF($O136=1,RIGHT(O$3,4)&amp;", ","")&amp;IF($P136=1,RIGHT(P$3,4)&amp;", ","")&amp;IF($Q136=1,RIGHT(Q$3,4)&amp;", ","")&amp;IF($R136=1,RIGHT(R$3,4)&amp;", ","")&amp;IF($S136=1,RIGHT(S$3,4)&amp;", ","")&amp;IF($T136=1,RIGHT(T$3,4)&amp;", ","")&amp;IF($U136=1,RIGHT(U$3,4)&amp;", ","")&amp;IF($V136=1,RIGHT(V$3,4)&amp;", ","")&amp;IF($W136=1,RIGHT(W$3,4)&amp;", ","")&amp;IF($X136=1,RIGHT(X$3,4)&amp;", ","")&amp;IF($Y136=1,RIGHT(Y$3,4)&amp;", ","")&amp;IF($Z136=1, RIGHT(Z$3,4)&amp;", ", "")&amp;IF($AA136=1, RIGHT(AA$3,4)&amp;", ", "")&amp;IF($AB136=1, RIGHT(AB$3,4)&amp;", ", "")&amp;IF($AC136=1, RIGHT(AC$3,4)&amp;", ", "")&amp;IF($AD136=1, RIGHT(AD$3,4)&amp;", ", "")&amp;IF($AE136=1, RIGHT(AE$3,4)&amp;", ", "")&amp;IF($AF136=1, RIGHT(AF$3,4)&amp;", ", "")</f>
        <v/>
      </c>
    </row>
    <row r="137" spans="1:34">
      <c r="A137" s="5">
        <f t="shared" si="2"/>
        <v>134</v>
      </c>
      <c r="B137" s="13" t="s">
        <v>163</v>
      </c>
      <c r="C137" s="7" t="s">
        <v>365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33"/>
      <c r="AD137" s="33"/>
      <c r="AE137" s="33"/>
      <c r="AF137" s="33"/>
      <c r="AG137" t="str">
        <f>+IF($D137=1,RIGHT(D$3,4)&amp;", ","")&amp;IF($E137=1,RIGHT(E$3,4)&amp;", ","")&amp;IF($F137=1,RIGHT(F$3,4)&amp;", ","")&amp;IF($G137=1,RIGHT(G$3,4)&amp;", ","")&amp;IF($H137=1,RIGHT(H$3,4)&amp;", ","")&amp;IF($I137=1,RIGHT(I$3,4)&amp;", ","")&amp;IF($J137=1,RIGHT(J$3,4)&amp;", ","")&amp;IF($K137=1,RIGHT(K$3,4)&amp;", ","")&amp;IF($L137=1,RIGHT(L$3,4)&amp;", ","")&amp;IF($M137=1,RIGHT(M$3,4)&amp;", ","")&amp;IF($N137=1,RIGHT(N$3,4)&amp;", ","")&amp;IF($O137=1,RIGHT(O$3,4)&amp;", ","")&amp;IF($P137=1,RIGHT(P$3,4)&amp;", ","")&amp;IF($Q137=1,RIGHT(Q$3,4)&amp;", ","")&amp;IF($R137=1,RIGHT(R$3,4)&amp;", ","")&amp;IF($S137=1,RIGHT(S$3,4)&amp;", ","")&amp;IF($T137=1,RIGHT(T$3,4)&amp;", ","")&amp;IF($U137=1,RIGHT(U$3,4)&amp;", ","")&amp;IF($V137=1,RIGHT(V$3,4)&amp;", ","")&amp;IF($W137=1,RIGHT(W$3,4)&amp;", ","")&amp;IF($X137=1,RIGHT(X$3,4)&amp;", ","")&amp;IF($Y137=1,RIGHT(Y$3,4)&amp;", ","")&amp;IF($Z137=1, RIGHT(Z$3,4)&amp;", ", "")&amp;IF($AA137=1, RIGHT(AA$3,4)&amp;", ", "")&amp;IF($AB137=1, RIGHT(AB$3,4)&amp;", ", "")&amp;IF($AC137=1, RIGHT(AC$3,4)&amp;", ", "")&amp;IF($AD137=1, RIGHT(AD$3,4)&amp;", ", "")&amp;IF($AE137=1, RIGHT(AE$3,4)&amp;", ", "")&amp;IF($AF137=1, RIGHT(AF$3,4)&amp;", ", "")</f>
        <v/>
      </c>
    </row>
    <row r="138" spans="1:34">
      <c r="A138" s="5">
        <f t="shared" si="2"/>
        <v>135</v>
      </c>
      <c r="B138" s="13" t="s">
        <v>164</v>
      </c>
      <c r="C138" s="7" t="s">
        <v>366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33"/>
      <c r="AD138" s="33"/>
      <c r="AE138" s="33"/>
      <c r="AF138" s="33"/>
      <c r="AG138" t="s">
        <v>227</v>
      </c>
    </row>
    <row r="139" spans="1:34">
      <c r="A139" s="5">
        <f t="shared" si="2"/>
        <v>136</v>
      </c>
      <c r="B139" s="13" t="s">
        <v>165</v>
      </c>
      <c r="C139" s="7" t="s">
        <v>367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33"/>
      <c r="AD139" s="33"/>
      <c r="AE139" s="33"/>
      <c r="AF139" s="33"/>
      <c r="AG139" t="s">
        <v>227</v>
      </c>
    </row>
    <row r="140" spans="1:34">
      <c r="A140" s="5">
        <f t="shared" si="2"/>
        <v>137</v>
      </c>
      <c r="B140" s="23" t="s">
        <v>166</v>
      </c>
      <c r="C140" s="7" t="s">
        <v>368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33"/>
      <c r="AD140" s="33"/>
      <c r="AE140" s="33"/>
      <c r="AF140" s="33"/>
      <c r="AG140" t="s">
        <v>227</v>
      </c>
      <c r="AH140" t="s">
        <v>369</v>
      </c>
    </row>
    <row r="141" spans="1:34">
      <c r="A141" s="5">
        <f t="shared" si="2"/>
        <v>138</v>
      </c>
      <c r="B141" s="9" t="s">
        <v>167</v>
      </c>
      <c r="C141" s="10" t="s">
        <v>370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33"/>
      <c r="AD141" s="33"/>
      <c r="AE141" s="33"/>
      <c r="AF141" s="33"/>
      <c r="AG141" t="s">
        <v>227</v>
      </c>
      <c r="AH141" t="s">
        <v>371</v>
      </c>
    </row>
    <row r="142" spans="1:34">
      <c r="A142" s="5">
        <f t="shared" si="2"/>
        <v>139</v>
      </c>
      <c r="B142" s="23" t="s">
        <v>168</v>
      </c>
      <c r="C142" s="7" t="s">
        <v>372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33"/>
      <c r="AD142" s="33"/>
      <c r="AE142" s="33"/>
      <c r="AF142" s="33"/>
      <c r="AG142" t="s">
        <v>227</v>
      </c>
    </row>
    <row r="143" spans="1:34">
      <c r="A143" s="5">
        <f t="shared" si="2"/>
        <v>140</v>
      </c>
      <c r="B143" s="23" t="s">
        <v>169</v>
      </c>
      <c r="C143" s="7" t="s">
        <v>373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33"/>
      <c r="AD143" s="33"/>
      <c r="AE143" s="33"/>
      <c r="AF143" s="33"/>
      <c r="AG143" t="str">
        <f>+IF($D143=1,RIGHT(D$3,4)&amp;", ","")&amp;IF($E143=1,RIGHT(E$3,4)&amp;", ","")&amp;IF($F143=1,RIGHT(F$3,4)&amp;", ","")&amp;IF($G143=1,RIGHT(G$3,4)&amp;", ","")&amp;IF($H143=1,RIGHT(H$3,4)&amp;", ","")&amp;IF($I143=1,RIGHT(I$3,4)&amp;", ","")&amp;IF($J143=1,RIGHT(J$3,4)&amp;", ","")&amp;IF($K143=1,RIGHT(K$3,4)&amp;", ","")&amp;IF($L143=1,RIGHT(L$3,4)&amp;", ","")&amp;IF($M143=1,RIGHT(M$3,4)&amp;", ","")&amp;IF($N143=1,RIGHT(N$3,4)&amp;", ","")&amp;IF($O143=1,RIGHT(O$3,4)&amp;", ","")&amp;IF($P143=1,RIGHT(P$3,4)&amp;", ","")&amp;IF($Q143=1,RIGHT(Q$3,4)&amp;", ","")&amp;IF($R143=1,RIGHT(R$3,4)&amp;", ","")&amp;IF($S143=1,RIGHT(S$3,4)&amp;", ","")&amp;IF($T143=1,RIGHT(T$3,4)&amp;", ","")&amp;IF($U143=1,RIGHT(U$3,4)&amp;", ","")&amp;IF($V143=1,RIGHT(V$3,4)&amp;", ","")&amp;IF($W143=1,RIGHT(W$3,4)&amp;", ","")&amp;IF($X143=1,RIGHT(X$3,4)&amp;", ","")&amp;IF($Y143=1,RIGHT(Y$3,4)&amp;", ","")&amp;IF($Z143=1, RIGHT(Z$3,4)&amp;", ", "")&amp;IF($AA143=1, RIGHT(AA$3,4)&amp;", ", "")&amp;IF($AB143=1, RIGHT(AB$3,4)&amp;", ", "")&amp;IF($AC143=1, RIGHT(AC$3,4)&amp;", ", "")&amp;IF($AD143=1, RIGHT(AD$3,4)&amp;", ", "")&amp;IF($AE143=1, RIGHT(AE$3,4)&amp;", ", "")&amp;IF($AF143=1, RIGHT(AF$3,4)&amp;", ", "")</f>
        <v/>
      </c>
    </row>
    <row r="144" spans="1:34">
      <c r="A144" s="5">
        <f t="shared" si="2"/>
        <v>141</v>
      </c>
      <c r="B144" s="23" t="s">
        <v>170</v>
      </c>
      <c r="C144" s="7" t="s">
        <v>374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21">
        <v>1</v>
      </c>
      <c r="P144" s="8">
        <v>0</v>
      </c>
      <c r="Q144" s="8">
        <v>0</v>
      </c>
      <c r="R144" s="8">
        <v>0</v>
      </c>
      <c r="S144" s="8">
        <v>0</v>
      </c>
      <c r="T144" s="22">
        <v>1</v>
      </c>
      <c r="U144" s="8">
        <v>0</v>
      </c>
      <c r="V144" s="8">
        <v>0</v>
      </c>
      <c r="W144" s="8">
        <v>0</v>
      </c>
      <c r="X144" s="8">
        <v>0</v>
      </c>
      <c r="Y144" s="22">
        <v>1</v>
      </c>
      <c r="Z144" s="8">
        <v>0</v>
      </c>
      <c r="AA144" s="8">
        <v>0</v>
      </c>
      <c r="AB144" s="8">
        <v>0</v>
      </c>
      <c r="AC144" s="33"/>
      <c r="AD144" s="33"/>
      <c r="AE144" s="33"/>
      <c r="AF144" s="33"/>
      <c r="AG144" t="s">
        <v>227</v>
      </c>
    </row>
    <row r="145" spans="1:33">
      <c r="A145" s="5">
        <f t="shared" si="2"/>
        <v>142</v>
      </c>
      <c r="B145" s="24" t="s">
        <v>171</v>
      </c>
      <c r="C145" s="24" t="s">
        <v>375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22">
        <v>1</v>
      </c>
      <c r="M145" s="8">
        <v>0</v>
      </c>
      <c r="N145" s="8">
        <v>0</v>
      </c>
      <c r="O145" s="22">
        <v>1</v>
      </c>
      <c r="P145" s="8">
        <v>0</v>
      </c>
      <c r="Q145" s="8">
        <v>0</v>
      </c>
      <c r="R145" s="8">
        <v>0</v>
      </c>
      <c r="S145" s="8">
        <v>0</v>
      </c>
      <c r="T145" s="22">
        <v>1</v>
      </c>
      <c r="U145" s="8">
        <v>0</v>
      </c>
      <c r="V145" s="8">
        <v>0</v>
      </c>
      <c r="W145" s="8">
        <v>0</v>
      </c>
      <c r="X145" s="8">
        <v>0</v>
      </c>
      <c r="Y145" s="22">
        <v>1</v>
      </c>
      <c r="Z145" s="8">
        <v>0</v>
      </c>
      <c r="AA145" s="8">
        <v>0</v>
      </c>
      <c r="AB145" s="8">
        <v>0</v>
      </c>
      <c r="AC145" s="33"/>
      <c r="AD145" s="33"/>
      <c r="AE145" s="33"/>
      <c r="AF145" s="33"/>
      <c r="AG145" t="s">
        <v>227</v>
      </c>
    </row>
    <row r="146" spans="1:33">
      <c r="A146" s="5">
        <f t="shared" si="2"/>
        <v>143</v>
      </c>
      <c r="B146" s="23" t="s">
        <v>172</v>
      </c>
      <c r="C146" s="7" t="s">
        <v>376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33"/>
      <c r="AD146" s="33"/>
      <c r="AE146" s="33"/>
      <c r="AF146" s="33"/>
      <c r="AG146" t="str">
        <f>+IF($D146=1,RIGHT(D$3,4)&amp;", ","")&amp;IF($E146=1,RIGHT(E$3,4)&amp;", ","")&amp;IF($F146=1,RIGHT(F$3,4)&amp;", ","")&amp;IF($G146=1,RIGHT(G$3,4)&amp;", ","")&amp;IF($H146=1,RIGHT(H$3,4)&amp;", ","")&amp;IF($I146=1,RIGHT(I$3,4)&amp;", ","")&amp;IF($J146=1,RIGHT(J$3,4)&amp;", ","")&amp;IF($K146=1,RIGHT(K$3,4)&amp;", ","")&amp;IF($L146=1,RIGHT(L$3,4)&amp;", ","")&amp;IF($M146=1,RIGHT(M$3,4)&amp;", ","")&amp;IF($N146=1,RIGHT(N$3,4)&amp;", ","")&amp;IF($O146=1,RIGHT(O$3,4)&amp;", ","")&amp;IF($P146=1,RIGHT(P$3,4)&amp;", ","")&amp;IF($Q146=1,RIGHT(Q$3,4)&amp;", ","")&amp;IF($R146=1,RIGHT(R$3,4)&amp;", ","")&amp;IF($S146=1,RIGHT(S$3,4)&amp;", ","")&amp;IF($T146=1,RIGHT(T$3,4)&amp;", ","")&amp;IF($U146=1,RIGHT(U$3,4)&amp;", ","")&amp;IF($V146=1,RIGHT(V$3,4)&amp;", ","")&amp;IF($W146=1,RIGHT(W$3,4)&amp;", ","")&amp;IF($X146=1,RIGHT(X$3,4)&amp;", ","")&amp;IF($Y146=1,RIGHT(Y$3,4)&amp;", ","")&amp;IF($Z146=1, RIGHT(Z$3,4)&amp;", ", "")&amp;IF($AA146=1, RIGHT(AA$3,4)&amp;", ", "")&amp;IF($AB146=1, RIGHT(AB$3,4)&amp;", ", "")&amp;IF($AC146=1, RIGHT(AC$3,4)&amp;", ", "")&amp;IF($AD146=1, RIGHT(AD$3,4)&amp;", ", "")&amp;IF($AE146=1, RIGHT(AE$3,4)&amp;", ", "")&amp;IF($AF146=1, RIGHT(AF$3,4)&amp;", ", "")</f>
        <v/>
      </c>
    </row>
    <row r="147" spans="1:33">
      <c r="A147" s="5">
        <f t="shared" si="2"/>
        <v>144</v>
      </c>
      <c r="B147" s="23" t="s">
        <v>173</v>
      </c>
      <c r="C147" s="7" t="s">
        <v>377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33"/>
      <c r="AD147" s="33"/>
      <c r="AE147" s="33"/>
      <c r="AF147" s="33"/>
      <c r="AG147" t="str">
        <f>+IF($D147=1,RIGHT(D$3,4)&amp;", ","")&amp;IF($E147=1,RIGHT(E$3,4)&amp;", ","")&amp;IF($F147=1,RIGHT(F$3,4)&amp;", ","")&amp;IF($G147=1,RIGHT(G$3,4)&amp;", ","")&amp;IF($H147=1,RIGHT(H$3,4)&amp;", ","")&amp;IF($I147=1,RIGHT(I$3,4)&amp;", ","")&amp;IF($J147=1,RIGHT(J$3,4)&amp;", ","")&amp;IF($K147=1,RIGHT(K$3,4)&amp;", ","")&amp;IF($L147=1,RIGHT(L$3,4)&amp;", ","")&amp;IF($M147=1,RIGHT(M$3,4)&amp;", ","")&amp;IF($N147=1,RIGHT(N$3,4)&amp;", ","")&amp;IF($O147=1,RIGHT(O$3,4)&amp;", ","")&amp;IF($P147=1,RIGHT(P$3,4)&amp;", ","")&amp;IF($Q147=1,RIGHT(Q$3,4)&amp;", ","")&amp;IF($R147=1,RIGHT(R$3,4)&amp;", ","")&amp;IF($S147=1,RIGHT(S$3,4)&amp;", ","")&amp;IF($T147=1,RIGHT(T$3,4)&amp;", ","")&amp;IF($U147=1,RIGHT(U$3,4)&amp;", ","")&amp;IF($V147=1,RIGHT(V$3,4)&amp;", ","")&amp;IF($W147=1,RIGHT(W$3,4)&amp;", ","")&amp;IF($X147=1,RIGHT(X$3,4)&amp;", ","")&amp;IF($Y147=1,RIGHT(Y$3,4)&amp;", ","")&amp;IF($Z147=1, RIGHT(Z$3,4)&amp;", ", "")&amp;IF($AA147=1, RIGHT(AA$3,4)&amp;", ", "")&amp;IF($AB147=1, RIGHT(AB$3,4)&amp;", ", "")&amp;IF($AC147=1, RIGHT(AC$3,4)&amp;", ", "")&amp;IF($AD147=1, RIGHT(AD$3,4)&amp;", ", "")&amp;IF($AE147=1, RIGHT(AE$3,4)&amp;", ", "")&amp;IF($AF147=1, RIGHT(AF$3,4)&amp;", ", "")</f>
        <v/>
      </c>
    </row>
    <row r="148" spans="1:33">
      <c r="A148" s="5">
        <f t="shared" si="2"/>
        <v>145</v>
      </c>
      <c r="B148" s="23" t="s">
        <v>174</v>
      </c>
      <c r="C148" s="7" t="s">
        <v>378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22">
        <v>1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33"/>
      <c r="AD148" s="33"/>
      <c r="AE148" s="33"/>
      <c r="AF148" s="33"/>
      <c r="AG148" t="str">
        <f>+IF($D148=1,RIGHT(D$3,4)&amp;", ","")&amp;IF($E148=1,RIGHT(E$3,4)&amp;", ","")&amp;IF($F148=1,RIGHT(F$3,4)&amp;", ","")&amp;IF($G148=1,RIGHT(G$3,4)&amp;", ","")&amp;IF($H148=1,RIGHT(H$3,4)&amp;", ","")&amp;IF($I148=1,RIGHT(I$3,4)&amp;", ","")&amp;IF($J148=1,RIGHT(J$3,4)&amp;", ","")&amp;IF($K148=1,RIGHT(K$3,4)&amp;", ","")&amp;IF($L148=1,RIGHT(L$3,4)&amp;", ","")&amp;IF($M148=1,RIGHT(M$3,4)&amp;", ","")&amp;IF($N148=1,RIGHT(N$3,4)&amp;", ","")&amp;IF($O148=1,RIGHT(O$3,4)&amp;", ","")&amp;IF($P148=1,RIGHT(P$3,4)&amp;", ","")&amp;IF($Q148=1,RIGHT(Q$3,4)&amp;", ","")&amp;IF($R148=1,RIGHT(R$3,4)&amp;", ","")&amp;IF($S148=1,RIGHT(S$3,4)&amp;", ","")&amp;IF($T148=1,RIGHT(T$3,4)&amp;", ","")&amp;IF($U148=1,RIGHT(U$3,4)&amp;", ","")&amp;IF($V148=1,RIGHT(V$3,4)&amp;", ","")&amp;IF($W148=1,RIGHT(W$3,4)&amp;", ","")&amp;IF($X148=1,RIGHT(X$3,4)&amp;", ","")&amp;IF($Y148=1,RIGHT(Y$3,4)&amp;", ","")&amp;IF($Z148=1, RIGHT(Z$3,4)&amp;", ", "")&amp;IF($AA148=1, RIGHT(AA$3,4)&amp;", ", "")&amp;IF($AB148=1, RIGHT(AB$3,4)&amp;", ", "")&amp;IF($AC148=1, RIGHT(AC$3,4)&amp;", ", "")&amp;IF($AD148=1, RIGHT(AD$3,4)&amp;", ", "")&amp;IF($AE148=1, RIGHT(AE$3,4)&amp;", ", "")&amp;IF($AF148=1, RIGHT(AF$3,4)&amp;", ", "")</f>
        <v xml:space="preserve">2013, </v>
      </c>
    </row>
    <row r="149" spans="1:33">
      <c r="A149" s="5">
        <f t="shared" si="2"/>
        <v>146</v>
      </c>
      <c r="B149" s="25" t="s">
        <v>175</v>
      </c>
      <c r="C149" s="25" t="s">
        <v>379</v>
      </c>
      <c r="D149" s="26">
        <v>0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8">
        <v>0</v>
      </c>
      <c r="AC149" s="33"/>
      <c r="AD149" s="33"/>
      <c r="AE149" s="33"/>
      <c r="AF149" s="33"/>
      <c r="AG149" t="s">
        <v>227</v>
      </c>
    </row>
    <row r="150" spans="1:33">
      <c r="A150" s="5">
        <f t="shared" si="2"/>
        <v>147</v>
      </c>
      <c r="B150" s="25" t="s">
        <v>176</v>
      </c>
      <c r="C150" s="25" t="s">
        <v>380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8">
        <v>0</v>
      </c>
      <c r="AC150" s="33"/>
      <c r="AD150" s="33"/>
      <c r="AE150" s="33"/>
      <c r="AF150" s="33"/>
      <c r="AG150" t="s">
        <v>227</v>
      </c>
    </row>
    <row r="151" spans="1:33">
      <c r="A151" s="5">
        <f t="shared" si="2"/>
        <v>148</v>
      </c>
      <c r="B151" s="25" t="s">
        <v>177</v>
      </c>
      <c r="C151" s="25" t="s">
        <v>381</v>
      </c>
      <c r="D151" s="26">
        <v>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8">
        <v>0</v>
      </c>
      <c r="AC151" s="33"/>
      <c r="AD151" s="33"/>
      <c r="AE151" s="33"/>
      <c r="AF151" s="33"/>
      <c r="AG151" t="s">
        <v>227</v>
      </c>
    </row>
    <row r="152" spans="1:33">
      <c r="A152" s="5">
        <f t="shared" si="2"/>
        <v>149</v>
      </c>
      <c r="B152" s="25" t="s">
        <v>178</v>
      </c>
      <c r="C152" s="25" t="s">
        <v>382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8">
        <v>0</v>
      </c>
      <c r="AC152" s="33"/>
      <c r="AD152" s="33"/>
      <c r="AE152" s="33"/>
      <c r="AF152" s="33"/>
      <c r="AG152" t="s">
        <v>227</v>
      </c>
    </row>
    <row r="153" spans="1:33">
      <c r="A153" s="5">
        <f t="shared" si="2"/>
        <v>150</v>
      </c>
      <c r="B153" s="25" t="s">
        <v>179</v>
      </c>
      <c r="C153" s="25" t="s">
        <v>383</v>
      </c>
      <c r="D153" s="26">
        <v>0</v>
      </c>
      <c r="E153" s="26">
        <v>0</v>
      </c>
      <c r="F153" s="26">
        <v>0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8">
        <v>0</v>
      </c>
      <c r="AC153" s="33"/>
      <c r="AD153" s="33"/>
      <c r="AE153" s="33"/>
      <c r="AF153" s="33"/>
      <c r="AG153" t="s">
        <v>227</v>
      </c>
    </row>
    <row r="154" spans="1:33">
      <c r="A154" s="5">
        <f t="shared" si="2"/>
        <v>151</v>
      </c>
      <c r="B154" s="25" t="s">
        <v>180</v>
      </c>
      <c r="C154" s="25" t="s">
        <v>384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  <c r="U154" s="26">
        <v>0</v>
      </c>
      <c r="V154" s="26">
        <v>0</v>
      </c>
      <c r="W154" s="26">
        <v>0</v>
      </c>
      <c r="X154" s="26">
        <v>0</v>
      </c>
      <c r="Y154" s="26">
        <v>0</v>
      </c>
      <c r="Z154" s="26">
        <v>0</v>
      </c>
      <c r="AA154" s="26">
        <v>0</v>
      </c>
      <c r="AB154" s="8">
        <v>0</v>
      </c>
      <c r="AC154" s="33"/>
      <c r="AD154" s="33"/>
      <c r="AE154" s="33"/>
      <c r="AF154" s="33"/>
      <c r="AG154" t="s">
        <v>227</v>
      </c>
    </row>
    <row r="155" spans="1:33">
      <c r="A155" s="5">
        <f t="shared" si="2"/>
        <v>152</v>
      </c>
      <c r="B155" s="25" t="s">
        <v>181</v>
      </c>
      <c r="C155" s="25" t="s">
        <v>385</v>
      </c>
      <c r="D155" s="26">
        <v>0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0</v>
      </c>
      <c r="Z155" s="26">
        <v>0</v>
      </c>
      <c r="AA155" s="26">
        <v>0</v>
      </c>
      <c r="AB155" s="8">
        <v>0</v>
      </c>
      <c r="AC155" s="33"/>
      <c r="AD155" s="33"/>
      <c r="AE155" s="33"/>
      <c r="AF155" s="33"/>
      <c r="AG155" t="s">
        <v>227</v>
      </c>
    </row>
    <row r="156" spans="1:33">
      <c r="A156" s="5">
        <f t="shared" si="2"/>
        <v>153</v>
      </c>
      <c r="B156" s="25" t="s">
        <v>182</v>
      </c>
      <c r="C156" s="25" t="s">
        <v>386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7">
        <v>1</v>
      </c>
      <c r="S156" s="26">
        <v>0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8">
        <v>0</v>
      </c>
      <c r="AC156" s="33"/>
      <c r="AD156" s="33"/>
      <c r="AE156" s="33"/>
      <c r="AF156" s="33"/>
      <c r="AG156" t="s">
        <v>227</v>
      </c>
    </row>
    <row r="157" spans="1:33">
      <c r="A157" s="5">
        <f t="shared" si="2"/>
        <v>154</v>
      </c>
      <c r="B157" s="25" t="s">
        <v>183</v>
      </c>
      <c r="C157" s="25" t="s">
        <v>387</v>
      </c>
      <c r="D157" s="26">
        <v>0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19">
        <v>1</v>
      </c>
      <c r="L157" s="26">
        <v>0</v>
      </c>
      <c r="M157" s="26">
        <v>0</v>
      </c>
      <c r="N157" s="26">
        <v>0</v>
      </c>
      <c r="O157" s="26">
        <v>0</v>
      </c>
      <c r="P157" s="26">
        <v>0</v>
      </c>
      <c r="Q157" s="26">
        <v>0</v>
      </c>
      <c r="R157" s="19">
        <v>1</v>
      </c>
      <c r="S157" s="26">
        <v>0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8">
        <v>0</v>
      </c>
      <c r="AC157" s="33"/>
      <c r="AD157" s="33"/>
      <c r="AE157" s="33"/>
      <c r="AF157" s="33"/>
      <c r="AG157" t="s">
        <v>227</v>
      </c>
    </row>
    <row r="158" spans="1:33">
      <c r="A158" s="5">
        <f t="shared" si="2"/>
        <v>155</v>
      </c>
      <c r="B158" s="25" t="s">
        <v>184</v>
      </c>
      <c r="C158" s="25" t="s">
        <v>388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0</v>
      </c>
      <c r="Z158" s="26">
        <v>0</v>
      </c>
      <c r="AA158" s="26">
        <v>0</v>
      </c>
      <c r="AB158" s="8">
        <v>0</v>
      </c>
      <c r="AC158" s="33"/>
      <c r="AD158" s="33"/>
      <c r="AE158" s="33"/>
      <c r="AF158" s="33"/>
      <c r="AG158" t="s">
        <v>227</v>
      </c>
    </row>
    <row r="159" spans="1:33">
      <c r="A159" s="5">
        <f t="shared" si="2"/>
        <v>156</v>
      </c>
      <c r="B159" s="24" t="s">
        <v>185</v>
      </c>
      <c r="C159" s="24" t="s">
        <v>389</v>
      </c>
      <c r="D159" s="24">
        <v>0</v>
      </c>
      <c r="E159" s="24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8">
        <v>0</v>
      </c>
      <c r="AC159" s="33"/>
      <c r="AD159" s="33"/>
      <c r="AE159" s="33"/>
      <c r="AF159" s="33"/>
      <c r="AG159" t="s">
        <v>227</v>
      </c>
    </row>
    <row r="160" spans="1:33">
      <c r="A160" s="5">
        <f t="shared" si="2"/>
        <v>157</v>
      </c>
      <c r="B160" s="24" t="s">
        <v>186</v>
      </c>
      <c r="C160" s="24" t="s">
        <v>390</v>
      </c>
      <c r="D160" s="24">
        <v>0</v>
      </c>
      <c r="E160" s="24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8">
        <v>0</v>
      </c>
      <c r="AC160" s="33"/>
      <c r="AD160" s="33"/>
      <c r="AE160" s="33"/>
      <c r="AF160" s="33"/>
      <c r="AG160" t="s">
        <v>227</v>
      </c>
    </row>
    <row r="161" spans="1:34">
      <c r="A161" s="5">
        <f t="shared" si="2"/>
        <v>158</v>
      </c>
      <c r="B161" s="24" t="s">
        <v>187</v>
      </c>
      <c r="C161" s="24" t="s">
        <v>391</v>
      </c>
      <c r="D161" s="24">
        <v>0</v>
      </c>
      <c r="E161" s="24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8">
        <v>0</v>
      </c>
      <c r="AC161" s="33"/>
      <c r="AD161" s="33"/>
      <c r="AE161" s="35"/>
      <c r="AF161" s="33"/>
      <c r="AG161" t="s">
        <v>227</v>
      </c>
      <c r="AH161" s="34"/>
    </row>
    <row r="162" spans="1:34">
      <c r="A162" s="5">
        <f t="shared" si="2"/>
        <v>159</v>
      </c>
      <c r="B162" s="24" t="s">
        <v>188</v>
      </c>
      <c r="C162" s="24" t="s">
        <v>392</v>
      </c>
      <c r="D162" s="24">
        <v>0</v>
      </c>
      <c r="E162" s="24">
        <v>0</v>
      </c>
      <c r="F162" s="30">
        <v>0</v>
      </c>
      <c r="G162" s="30">
        <v>0</v>
      </c>
      <c r="H162" s="30">
        <v>0</v>
      </c>
      <c r="I162" s="31">
        <v>1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1">
        <v>1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8">
        <v>0</v>
      </c>
      <c r="AC162" s="33"/>
      <c r="AD162" s="33"/>
      <c r="AE162" s="33"/>
      <c r="AF162" s="33"/>
      <c r="AG162" t="s">
        <v>227</v>
      </c>
      <c r="AH162" s="28"/>
    </row>
    <row r="163" spans="1:34">
      <c r="A163" s="5">
        <f t="shared" si="2"/>
        <v>160</v>
      </c>
      <c r="B163" s="24" t="s">
        <v>189</v>
      </c>
      <c r="C163" s="24" t="s">
        <v>393</v>
      </c>
      <c r="D163" s="24">
        <v>0</v>
      </c>
      <c r="E163" s="24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8">
        <v>0</v>
      </c>
      <c r="AC163" s="33"/>
      <c r="AD163" s="33"/>
      <c r="AE163" s="33"/>
      <c r="AF163" s="33"/>
      <c r="AG163" t="s">
        <v>227</v>
      </c>
    </row>
    <row r="164" spans="1:34">
      <c r="A164" s="5">
        <f t="shared" si="2"/>
        <v>161</v>
      </c>
      <c r="B164" s="24" t="s">
        <v>190</v>
      </c>
      <c r="C164" s="24" t="s">
        <v>394</v>
      </c>
      <c r="D164" s="24">
        <v>0</v>
      </c>
      <c r="E164" s="24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8">
        <v>0</v>
      </c>
      <c r="AC164" s="33"/>
      <c r="AD164" s="33"/>
      <c r="AE164" s="33"/>
      <c r="AF164" s="33"/>
      <c r="AG164" t="s">
        <v>227</v>
      </c>
    </row>
    <row r="165" spans="1:34">
      <c r="A165" s="5">
        <f t="shared" si="2"/>
        <v>162</v>
      </c>
      <c r="B165" s="24" t="s">
        <v>191</v>
      </c>
      <c r="C165" s="24" t="s">
        <v>395</v>
      </c>
      <c r="D165" s="24">
        <v>0</v>
      </c>
      <c r="E165" s="24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1">
        <v>1</v>
      </c>
      <c r="S165" s="30">
        <v>0</v>
      </c>
      <c r="T165" s="30">
        <v>0</v>
      </c>
      <c r="U165" s="30">
        <v>0</v>
      </c>
      <c r="V165" s="30">
        <v>0</v>
      </c>
      <c r="W165" s="31">
        <v>1</v>
      </c>
      <c r="X165" s="31">
        <v>1</v>
      </c>
      <c r="Y165" s="31">
        <v>1</v>
      </c>
      <c r="Z165" s="31">
        <v>1</v>
      </c>
      <c r="AA165" s="30">
        <v>0</v>
      </c>
      <c r="AB165" s="8">
        <v>0</v>
      </c>
      <c r="AC165" s="33"/>
      <c r="AD165" s="33"/>
      <c r="AE165" s="33"/>
      <c r="AF165" s="33"/>
      <c r="AG165" t="s">
        <v>227</v>
      </c>
      <c r="AH165" s="28"/>
    </row>
    <row r="166" spans="1:34">
      <c r="A166" s="5">
        <f t="shared" si="2"/>
        <v>163</v>
      </c>
      <c r="B166" s="24" t="s">
        <v>192</v>
      </c>
      <c r="C166" s="24" t="s">
        <v>396</v>
      </c>
      <c r="D166" s="24">
        <v>0</v>
      </c>
      <c r="E166" s="24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8">
        <v>0</v>
      </c>
      <c r="AC166" s="33"/>
      <c r="AD166" s="33"/>
      <c r="AE166" s="33"/>
      <c r="AF166" s="33">
        <v>1</v>
      </c>
      <c r="AG166" t="s">
        <v>227</v>
      </c>
    </row>
    <row r="167" spans="1:34" ht="15.75" customHeight="1">
      <c r="A167" s="5">
        <f t="shared" si="2"/>
        <v>164</v>
      </c>
      <c r="B167" s="24" t="s">
        <v>193</v>
      </c>
      <c r="C167" s="24" t="s">
        <v>397</v>
      </c>
      <c r="D167" s="24">
        <v>0</v>
      </c>
      <c r="E167" s="24">
        <v>0</v>
      </c>
      <c r="F167" s="31">
        <v>1</v>
      </c>
      <c r="G167" s="30">
        <v>0</v>
      </c>
      <c r="H167" s="30">
        <v>0</v>
      </c>
      <c r="I167" s="31">
        <v>1</v>
      </c>
      <c r="J167" s="30">
        <v>0</v>
      </c>
      <c r="K167" s="30">
        <v>0</v>
      </c>
      <c r="L167" s="30">
        <v>0</v>
      </c>
      <c r="M167" s="31">
        <v>1</v>
      </c>
      <c r="N167" s="30">
        <v>0</v>
      </c>
      <c r="O167" s="30">
        <v>0</v>
      </c>
      <c r="P167" s="31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8">
        <v>0</v>
      </c>
      <c r="AC167" s="33"/>
      <c r="AD167" s="33"/>
      <c r="AE167" s="33"/>
      <c r="AF167" s="33">
        <v>1</v>
      </c>
      <c r="AG167" t="s">
        <v>227</v>
      </c>
      <c r="AH167" s="28"/>
    </row>
    <row r="168" spans="1:34">
      <c r="A168" s="5">
        <f t="shared" si="2"/>
        <v>165</v>
      </c>
      <c r="B168" s="24" t="s">
        <v>194</v>
      </c>
      <c r="C168" s="24" t="s">
        <v>398</v>
      </c>
      <c r="D168" s="24">
        <v>0</v>
      </c>
      <c r="E168" s="24">
        <v>0</v>
      </c>
      <c r="F168" s="30">
        <v>0</v>
      </c>
      <c r="G168" s="30">
        <v>0</v>
      </c>
      <c r="H168" s="31">
        <v>1</v>
      </c>
      <c r="I168" s="30">
        <v>0</v>
      </c>
      <c r="J168" s="30">
        <v>0</v>
      </c>
      <c r="K168" s="30">
        <v>0</v>
      </c>
      <c r="L168" s="30">
        <v>0</v>
      </c>
      <c r="M168" s="31">
        <v>1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8">
        <v>0</v>
      </c>
      <c r="AC168" s="33"/>
      <c r="AD168" s="33"/>
      <c r="AE168" s="33"/>
      <c r="AF168" s="33"/>
      <c r="AG168" t="s">
        <v>227</v>
      </c>
      <c r="AH168" s="28"/>
    </row>
    <row r="169" spans="1:34">
      <c r="A169" s="5">
        <f t="shared" si="2"/>
        <v>166</v>
      </c>
      <c r="B169" s="24" t="s">
        <v>195</v>
      </c>
      <c r="C169" s="24" t="s">
        <v>399</v>
      </c>
      <c r="D169" s="24">
        <v>0</v>
      </c>
      <c r="E169" s="24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8">
        <v>0</v>
      </c>
      <c r="AC169" s="33"/>
      <c r="AD169" s="33"/>
      <c r="AE169" s="33"/>
      <c r="AF169" s="33"/>
      <c r="AG169" t="s">
        <v>227</v>
      </c>
    </row>
    <row r="170" spans="1:34">
      <c r="A170" s="5">
        <f t="shared" si="2"/>
        <v>167</v>
      </c>
      <c r="B170" s="24" t="s">
        <v>196</v>
      </c>
      <c r="C170" s="24" t="s">
        <v>400</v>
      </c>
      <c r="D170" s="24">
        <v>0</v>
      </c>
      <c r="E170" s="24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8">
        <v>0</v>
      </c>
      <c r="AC170" s="33"/>
      <c r="AD170" s="33"/>
      <c r="AE170" s="33"/>
      <c r="AF170" s="33">
        <v>1</v>
      </c>
      <c r="AG170" t="s">
        <v>227</v>
      </c>
    </row>
    <row r="171" spans="1:34">
      <c r="A171" s="5">
        <f t="shared" si="2"/>
        <v>168</v>
      </c>
      <c r="B171" s="24" t="s">
        <v>197</v>
      </c>
      <c r="C171" s="24" t="s">
        <v>401</v>
      </c>
      <c r="D171" s="24">
        <v>0</v>
      </c>
      <c r="E171" s="24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8">
        <v>0</v>
      </c>
      <c r="AC171" s="33"/>
      <c r="AD171" s="33"/>
      <c r="AE171" s="33"/>
      <c r="AF171" s="33"/>
      <c r="AG171" t="s">
        <v>227</v>
      </c>
    </row>
    <row r="172" spans="1:34">
      <c r="A172" s="5">
        <f t="shared" si="2"/>
        <v>169</v>
      </c>
      <c r="B172" s="24" t="s">
        <v>198</v>
      </c>
      <c r="C172" s="24" t="s">
        <v>402</v>
      </c>
      <c r="D172" s="24">
        <v>0</v>
      </c>
      <c r="E172" s="24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8">
        <v>0</v>
      </c>
      <c r="AC172" s="33"/>
      <c r="AD172" s="33"/>
      <c r="AE172" s="33"/>
      <c r="AF172" s="33"/>
      <c r="AG172" t="s">
        <v>227</v>
      </c>
    </row>
    <row r="173" spans="1:34">
      <c r="A173" s="5">
        <f t="shared" si="2"/>
        <v>170</v>
      </c>
      <c r="B173" s="24" t="s">
        <v>199</v>
      </c>
      <c r="C173" s="24" t="s">
        <v>403</v>
      </c>
      <c r="D173" s="24">
        <v>0</v>
      </c>
      <c r="E173" s="24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8">
        <v>0</v>
      </c>
      <c r="AC173" s="33"/>
      <c r="AD173" s="33"/>
      <c r="AE173" s="33"/>
      <c r="AF173" s="33"/>
      <c r="AG173" t="s">
        <v>227</v>
      </c>
    </row>
    <row r="174" spans="1:34">
      <c r="A174" s="5">
        <f t="shared" si="2"/>
        <v>171</v>
      </c>
      <c r="B174" s="24" t="s">
        <v>200</v>
      </c>
      <c r="C174" s="24" t="s">
        <v>404</v>
      </c>
      <c r="D174" s="24">
        <v>0</v>
      </c>
      <c r="E174" s="24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8">
        <v>0</v>
      </c>
      <c r="AC174" s="33"/>
      <c r="AD174" s="33"/>
      <c r="AE174" s="33"/>
      <c r="AF174" s="33"/>
      <c r="AG174" t="s">
        <v>227</v>
      </c>
    </row>
    <row r="175" spans="1:34">
      <c r="A175" s="5">
        <f t="shared" si="2"/>
        <v>172</v>
      </c>
      <c r="B175" s="24" t="s">
        <v>201</v>
      </c>
      <c r="C175" s="24" t="s">
        <v>405</v>
      </c>
      <c r="D175" s="24">
        <v>0</v>
      </c>
      <c r="E175" s="24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8">
        <v>0</v>
      </c>
      <c r="AC175" s="33"/>
      <c r="AD175" s="33"/>
      <c r="AE175" s="33"/>
      <c r="AF175" s="33"/>
      <c r="AG175" t="s">
        <v>227</v>
      </c>
    </row>
    <row r="176" spans="1:34">
      <c r="A176" s="5">
        <f t="shared" si="2"/>
        <v>173</v>
      </c>
      <c r="B176" s="24" t="s">
        <v>202</v>
      </c>
      <c r="C176" s="24" t="s">
        <v>406</v>
      </c>
      <c r="D176" s="24">
        <v>0</v>
      </c>
      <c r="E176" s="24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8">
        <v>0</v>
      </c>
      <c r="AC176" s="33"/>
      <c r="AD176" s="33"/>
      <c r="AE176" s="33"/>
      <c r="AF176" s="33"/>
      <c r="AG176" t="s">
        <v>227</v>
      </c>
    </row>
    <row r="177" spans="1:34">
      <c r="A177" s="5">
        <f t="shared" si="2"/>
        <v>174</v>
      </c>
      <c r="B177" s="24" t="s">
        <v>203</v>
      </c>
      <c r="C177" s="24" t="s">
        <v>407</v>
      </c>
      <c r="D177" s="24">
        <v>0</v>
      </c>
      <c r="E177" s="24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8">
        <v>0</v>
      </c>
      <c r="AC177" s="33"/>
      <c r="AD177" s="33"/>
      <c r="AE177" s="33"/>
      <c r="AF177" s="33"/>
      <c r="AG177" t="s">
        <v>227</v>
      </c>
    </row>
    <row r="178" spans="1:34">
      <c r="A178" s="5">
        <f t="shared" si="2"/>
        <v>175</v>
      </c>
      <c r="B178" s="24" t="s">
        <v>204</v>
      </c>
      <c r="C178" s="24" t="s">
        <v>408</v>
      </c>
      <c r="D178" s="24">
        <v>0</v>
      </c>
      <c r="E178" s="24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8">
        <v>0</v>
      </c>
      <c r="AC178" s="33"/>
      <c r="AD178" s="33"/>
      <c r="AE178" s="33"/>
      <c r="AF178" s="33"/>
      <c r="AG178" t="s">
        <v>227</v>
      </c>
    </row>
    <row r="179" spans="1:34">
      <c r="A179" s="5">
        <f t="shared" si="2"/>
        <v>176</v>
      </c>
      <c r="B179" s="24" t="s">
        <v>205</v>
      </c>
      <c r="C179" s="24" t="s">
        <v>409</v>
      </c>
      <c r="D179" s="24">
        <v>0</v>
      </c>
      <c r="E179" s="24">
        <v>0</v>
      </c>
      <c r="F179" s="30">
        <v>0</v>
      </c>
      <c r="G179" s="30">
        <v>0</v>
      </c>
      <c r="H179" s="30">
        <v>0</v>
      </c>
      <c r="I179" s="31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1">
        <v>1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8">
        <v>0</v>
      </c>
      <c r="AC179" s="33"/>
      <c r="AD179" s="33"/>
      <c r="AE179" s="33"/>
      <c r="AF179" s="33"/>
      <c r="AG179" t="s">
        <v>227</v>
      </c>
      <c r="AH179" s="28"/>
    </row>
    <row r="180" spans="1:34">
      <c r="A180" s="5">
        <f t="shared" si="2"/>
        <v>177</v>
      </c>
      <c r="B180" s="24" t="s">
        <v>206</v>
      </c>
      <c r="C180" s="24" t="s">
        <v>410</v>
      </c>
      <c r="D180" s="24">
        <v>0</v>
      </c>
      <c r="E180" s="24">
        <v>0</v>
      </c>
      <c r="F180" s="30">
        <v>0</v>
      </c>
      <c r="G180" s="31">
        <v>1</v>
      </c>
      <c r="H180" s="30">
        <v>0</v>
      </c>
      <c r="I180" s="31">
        <v>1</v>
      </c>
      <c r="J180" s="30">
        <v>0</v>
      </c>
      <c r="K180" s="30">
        <v>0</v>
      </c>
      <c r="L180" s="31">
        <v>1</v>
      </c>
      <c r="M180" s="30">
        <v>0</v>
      </c>
      <c r="N180" s="31">
        <v>1</v>
      </c>
      <c r="O180" s="30">
        <v>0</v>
      </c>
      <c r="P180" s="30">
        <v>0</v>
      </c>
      <c r="Q180" s="31">
        <v>1</v>
      </c>
      <c r="R180" s="30">
        <v>0</v>
      </c>
      <c r="S180" s="30">
        <v>0</v>
      </c>
      <c r="T180" s="30">
        <v>0</v>
      </c>
      <c r="U180" s="30">
        <v>0</v>
      </c>
      <c r="V180" s="31">
        <v>1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8">
        <v>0</v>
      </c>
      <c r="AC180" s="33"/>
      <c r="AD180" s="33"/>
      <c r="AE180" s="33"/>
      <c r="AF180" s="33">
        <v>1</v>
      </c>
      <c r="AG180" t="s">
        <v>227</v>
      </c>
    </row>
    <row r="181" spans="1:34">
      <c r="A181" s="5">
        <f t="shared" si="2"/>
        <v>178</v>
      </c>
      <c r="B181" s="24" t="s">
        <v>207</v>
      </c>
      <c r="C181" s="24" t="s">
        <v>411</v>
      </c>
      <c r="D181" s="24">
        <v>1</v>
      </c>
      <c r="E181" s="24">
        <v>1</v>
      </c>
      <c r="F181" s="31">
        <v>1</v>
      </c>
      <c r="G181" s="31">
        <v>1</v>
      </c>
      <c r="H181" s="31">
        <v>1</v>
      </c>
      <c r="I181" s="31">
        <v>1</v>
      </c>
      <c r="J181" s="31">
        <v>1</v>
      </c>
      <c r="K181" s="31">
        <v>1</v>
      </c>
      <c r="L181" s="31">
        <v>1</v>
      </c>
      <c r="M181" s="31">
        <v>1</v>
      </c>
      <c r="N181" s="31">
        <v>1</v>
      </c>
      <c r="O181" s="31">
        <v>1</v>
      </c>
      <c r="P181" s="31">
        <v>1</v>
      </c>
      <c r="Q181" s="31">
        <v>1</v>
      </c>
      <c r="R181" s="31">
        <v>1</v>
      </c>
      <c r="S181" s="31">
        <v>1</v>
      </c>
      <c r="T181" s="31">
        <v>1</v>
      </c>
      <c r="U181" s="31">
        <v>1</v>
      </c>
      <c r="V181" s="31">
        <v>1</v>
      </c>
      <c r="W181" s="31">
        <v>1</v>
      </c>
      <c r="X181" s="31">
        <v>1</v>
      </c>
      <c r="Y181" s="31">
        <v>1</v>
      </c>
      <c r="Z181" s="31">
        <v>1</v>
      </c>
      <c r="AA181" s="30">
        <v>0</v>
      </c>
      <c r="AB181" s="8">
        <v>0</v>
      </c>
      <c r="AC181" s="33"/>
      <c r="AD181" s="33"/>
      <c r="AE181" s="33"/>
      <c r="AF181" s="33"/>
      <c r="AG181" t="s">
        <v>227</v>
      </c>
      <c r="AH181" s="28"/>
    </row>
    <row r="182" spans="1:34">
      <c r="A182" s="5">
        <f t="shared" si="2"/>
        <v>179</v>
      </c>
      <c r="B182" s="24" t="s">
        <v>208</v>
      </c>
      <c r="C182" s="24" t="s">
        <v>412</v>
      </c>
      <c r="D182" s="24">
        <v>0</v>
      </c>
      <c r="E182" s="24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1">
        <v>1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8">
        <v>0</v>
      </c>
      <c r="AC182" s="33"/>
      <c r="AD182" s="33"/>
      <c r="AE182" s="33"/>
      <c r="AF182" s="33"/>
      <c r="AG182" t="s">
        <v>227</v>
      </c>
      <c r="AH182" s="28"/>
    </row>
    <row r="183" spans="1:34">
      <c r="A183" s="5">
        <f t="shared" si="2"/>
        <v>180</v>
      </c>
      <c r="B183" s="24" t="s">
        <v>209</v>
      </c>
      <c r="C183" s="24" t="s">
        <v>413</v>
      </c>
      <c r="D183" s="24">
        <v>0</v>
      </c>
      <c r="E183" s="24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8">
        <v>0</v>
      </c>
      <c r="AC183" s="33"/>
      <c r="AD183" s="33"/>
      <c r="AE183" s="33"/>
      <c r="AF183" s="33"/>
      <c r="AG183" t="s">
        <v>227</v>
      </c>
    </row>
    <row r="184" spans="1:34">
      <c r="A184" s="5">
        <f t="shared" si="2"/>
        <v>181</v>
      </c>
      <c r="B184" s="24" t="s">
        <v>210</v>
      </c>
      <c r="C184" s="24" t="s">
        <v>414</v>
      </c>
      <c r="D184" s="24">
        <v>0</v>
      </c>
      <c r="E184" s="24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8">
        <v>0</v>
      </c>
      <c r="AC184" s="33"/>
      <c r="AD184" s="33"/>
      <c r="AE184" s="33"/>
      <c r="AF184" s="33"/>
      <c r="AG184" t="s">
        <v>227</v>
      </c>
    </row>
    <row r="185" spans="1:34">
      <c r="A185" s="5">
        <f t="shared" si="2"/>
        <v>182</v>
      </c>
      <c r="B185" s="24" t="s">
        <v>211</v>
      </c>
      <c r="C185" s="24" t="s">
        <v>415</v>
      </c>
      <c r="D185" s="24">
        <v>0</v>
      </c>
      <c r="E185" s="24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8">
        <v>0</v>
      </c>
      <c r="AC185" s="33"/>
      <c r="AD185" s="33"/>
      <c r="AE185" s="33"/>
      <c r="AF185" s="33"/>
      <c r="AG185" t="s">
        <v>227</v>
      </c>
    </row>
    <row r="186" spans="1:34">
      <c r="A186" s="5">
        <f t="shared" si="2"/>
        <v>183</v>
      </c>
      <c r="B186" s="24" t="s">
        <v>212</v>
      </c>
      <c r="C186" s="24" t="s">
        <v>416</v>
      </c>
      <c r="D186" s="24">
        <v>0</v>
      </c>
      <c r="E186" s="24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8">
        <v>0</v>
      </c>
      <c r="AC186" s="33"/>
      <c r="AD186" s="33"/>
      <c r="AE186" s="33"/>
      <c r="AF186" s="33"/>
      <c r="AG186" t="s">
        <v>227</v>
      </c>
    </row>
    <row r="187" spans="1:34">
      <c r="A187" s="5">
        <f t="shared" si="2"/>
        <v>184</v>
      </c>
      <c r="B187" s="24" t="s">
        <v>213</v>
      </c>
      <c r="C187" s="24" t="s">
        <v>417</v>
      </c>
      <c r="D187" s="24">
        <v>0</v>
      </c>
      <c r="E187" s="24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8">
        <v>0</v>
      </c>
      <c r="AC187" s="33"/>
      <c r="AD187" s="33"/>
      <c r="AE187" s="33"/>
      <c r="AF187" s="33"/>
      <c r="AG187" t="s">
        <v>227</v>
      </c>
    </row>
    <row r="188" spans="1:34">
      <c r="A188" s="5">
        <f t="shared" si="2"/>
        <v>185</v>
      </c>
      <c r="B188" s="24" t="s">
        <v>214</v>
      </c>
      <c r="C188" s="24" t="s">
        <v>418</v>
      </c>
      <c r="D188" s="24">
        <v>0</v>
      </c>
      <c r="E188" s="24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8">
        <v>0</v>
      </c>
      <c r="AC188" s="33"/>
      <c r="AD188" s="33"/>
      <c r="AE188" s="33"/>
      <c r="AF188" s="33"/>
      <c r="AG188" t="s">
        <v>227</v>
      </c>
    </row>
    <row r="189" spans="1:34">
      <c r="A189" s="5">
        <f t="shared" si="2"/>
        <v>186</v>
      </c>
      <c r="B189" s="24" t="s">
        <v>215</v>
      </c>
      <c r="C189" s="24" t="s">
        <v>419</v>
      </c>
      <c r="D189" s="24">
        <v>0</v>
      </c>
      <c r="E189" s="24">
        <v>1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1">
        <v>1</v>
      </c>
      <c r="M189" s="30">
        <v>0</v>
      </c>
      <c r="N189" s="30">
        <v>0</v>
      </c>
      <c r="O189" s="30">
        <v>0</v>
      </c>
      <c r="P189" s="31">
        <v>1</v>
      </c>
      <c r="Q189" s="30">
        <v>0</v>
      </c>
      <c r="R189" s="31">
        <v>1</v>
      </c>
      <c r="S189" s="30">
        <v>0</v>
      </c>
      <c r="T189" s="30">
        <v>0</v>
      </c>
      <c r="U189" s="30">
        <v>0</v>
      </c>
      <c r="V189" s="30">
        <v>0</v>
      </c>
      <c r="W189" s="31">
        <v>1</v>
      </c>
      <c r="X189" s="30">
        <v>0</v>
      </c>
      <c r="Y189" s="30">
        <v>0</v>
      </c>
      <c r="Z189" s="30">
        <v>0</v>
      </c>
      <c r="AA189" s="30">
        <v>0</v>
      </c>
      <c r="AB189" s="8">
        <v>0</v>
      </c>
      <c r="AC189" s="33"/>
      <c r="AD189" s="33"/>
      <c r="AE189" s="33"/>
      <c r="AF189" s="33"/>
      <c r="AG189" t="s">
        <v>227</v>
      </c>
      <c r="AH189" s="28"/>
    </row>
    <row r="190" spans="1:34">
      <c r="A190" s="5">
        <f t="shared" si="2"/>
        <v>187</v>
      </c>
      <c r="B190" s="24" t="s">
        <v>216</v>
      </c>
      <c r="C190" s="24" t="s">
        <v>420</v>
      </c>
      <c r="D190" s="24">
        <v>0</v>
      </c>
      <c r="E190" s="24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8">
        <v>0</v>
      </c>
      <c r="AC190" s="33"/>
      <c r="AD190" s="33"/>
      <c r="AE190" s="33"/>
      <c r="AF190" s="33"/>
      <c r="AG190" t="s">
        <v>227</v>
      </c>
    </row>
    <row r="191" spans="1:34">
      <c r="A191" s="5">
        <f t="shared" si="2"/>
        <v>188</v>
      </c>
      <c r="B191" s="24" t="s">
        <v>217</v>
      </c>
      <c r="C191" s="24" t="s">
        <v>421</v>
      </c>
      <c r="D191" s="24">
        <v>0</v>
      </c>
      <c r="E191" s="24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8">
        <v>0</v>
      </c>
      <c r="AC191" s="33"/>
      <c r="AD191" s="33"/>
      <c r="AE191" s="33"/>
      <c r="AF191" s="33"/>
      <c r="AG191" t="s">
        <v>227</v>
      </c>
    </row>
    <row r="192" spans="1:34">
      <c r="A192" s="5">
        <f t="shared" si="2"/>
        <v>189</v>
      </c>
      <c r="B192" s="24" t="s">
        <v>218</v>
      </c>
      <c r="C192" s="24" t="s">
        <v>422</v>
      </c>
      <c r="D192" s="24">
        <v>0</v>
      </c>
      <c r="E192" s="24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8">
        <v>0</v>
      </c>
      <c r="AC192" s="33"/>
      <c r="AD192" s="33"/>
      <c r="AE192" s="33"/>
      <c r="AF192" s="33"/>
      <c r="AG192" t="s">
        <v>227</v>
      </c>
    </row>
    <row r="193" spans="1:34">
      <c r="A193" s="5">
        <f t="shared" si="2"/>
        <v>190</v>
      </c>
      <c r="B193" s="24" t="s">
        <v>219</v>
      </c>
      <c r="C193" s="24" t="s">
        <v>423</v>
      </c>
      <c r="D193" s="24">
        <v>0</v>
      </c>
      <c r="E193" s="24">
        <v>1</v>
      </c>
      <c r="F193" s="30">
        <v>0</v>
      </c>
      <c r="G193" s="30">
        <v>0</v>
      </c>
      <c r="H193" s="30">
        <v>0</v>
      </c>
      <c r="I193" s="30">
        <v>0</v>
      </c>
      <c r="J193" s="31">
        <v>1</v>
      </c>
      <c r="K193" s="30">
        <v>0</v>
      </c>
      <c r="L193" s="30">
        <v>0</v>
      </c>
      <c r="M193" s="30">
        <v>0</v>
      </c>
      <c r="N193" s="30">
        <v>0</v>
      </c>
      <c r="O193" s="31">
        <v>1</v>
      </c>
      <c r="P193" s="30">
        <v>0</v>
      </c>
      <c r="Q193" s="30">
        <v>0</v>
      </c>
      <c r="R193" s="30">
        <v>0</v>
      </c>
      <c r="S193" s="30">
        <v>0</v>
      </c>
      <c r="T193" s="31">
        <v>1</v>
      </c>
      <c r="U193" s="30">
        <v>0</v>
      </c>
      <c r="V193" s="30">
        <v>0</v>
      </c>
      <c r="W193" s="30">
        <v>0</v>
      </c>
      <c r="X193" s="30">
        <v>0</v>
      </c>
      <c r="Y193" s="31">
        <v>1</v>
      </c>
      <c r="Z193" s="30">
        <v>0</v>
      </c>
      <c r="AA193" s="30">
        <v>0</v>
      </c>
      <c r="AB193" s="8">
        <v>0</v>
      </c>
      <c r="AC193" s="33"/>
      <c r="AD193" s="33"/>
      <c r="AE193" s="33"/>
      <c r="AF193" s="33"/>
      <c r="AG193" t="s">
        <v>227</v>
      </c>
      <c r="AH193" s="28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AA5C-BE8C-4470-8495-68EEC7BDC2A8}">
  <dimension ref="A1:A5"/>
  <sheetViews>
    <sheetView workbookViewId="0">
      <selection activeCell="A2" sqref="A2"/>
    </sheetView>
  </sheetViews>
  <sheetFormatPr defaultRowHeight="15"/>
  <sheetData>
    <row r="1" spans="1:1">
      <c r="A1" t="s">
        <v>424</v>
      </c>
    </row>
    <row r="2" spans="1:1">
      <c r="A2" t="s">
        <v>425</v>
      </c>
    </row>
    <row r="3" spans="1:1">
      <c r="A3" t="s">
        <v>426</v>
      </c>
    </row>
    <row r="4" spans="1:1">
      <c r="A4" s="34" t="s">
        <v>427</v>
      </c>
    </row>
    <row r="5" spans="1:1">
      <c r="A5" t="s">
        <v>428</v>
      </c>
    </row>
  </sheetData>
  <hyperlinks>
    <hyperlink ref="A4" r:id="rId1" xr:uid="{D5EFB9F6-FF7B-4053-9C71-B93973EBAFF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896D99-4496-44E2-9016-9FB49A716204}"/>
</file>

<file path=customXml/itemProps2.xml><?xml version="1.0" encoding="utf-8"?>
<ds:datastoreItem xmlns:ds="http://schemas.openxmlformats.org/officeDocument/2006/customXml" ds:itemID="{7763AE3D-8A65-43CC-B0B0-CFD53EBDE991}"/>
</file>

<file path=customXml/itemProps3.xml><?xml version="1.0" encoding="utf-8"?>
<ds:datastoreItem xmlns:ds="http://schemas.openxmlformats.org/officeDocument/2006/customXml" ds:itemID="{D61D0512-2F56-4CCF-99F7-C9B0E3D131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2019-06-14T03:13:12Z</dcterms:created>
  <dcterms:modified xsi:type="dcterms:W3CDTF">2025-05-09T13:23:28Z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</Properties>
</file>